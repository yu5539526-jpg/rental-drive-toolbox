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目的地选车参考表" sheetId="1" r:id="rId1"/>
    <sheet name="自驾旅行预算表" sheetId="2" r:id="rId2"/>
    <sheet name="租车取车验车清单" sheetId="3" r:id="rId3"/>
  </sheets>
  <calcPr calcId="0" fullCalcOnLoad="1"/>
</workbook>
</file>

<file path=xl/styles.xml><?xml version="1.0" encoding="utf-8"?>
<styleSheet xmlns="http://schemas.openxmlformats.org/spreadsheetml/2006/main">
  <fonts count="4">
    <font>
      <sz val="11"/>
      <color rgb="FF24333A"/>
      <name val="Microsoft YaHei"/>
    </font>
    <font>
      <b/>
      <sz val="11"/>
      <color rgb="FFFFFFFF"/>
      <name val="Microsoft YaHei"/>
    </font>
    <font>
      <b/>
      <sz val="11"/>
      <color rgb="FF1B4B5A"/>
      <name val="Microsoft YaHei"/>
    </font>
    <font>
      <b/>
      <sz val="11"/>
      <color rgb="FF8A4B14"/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1E6F67"/>
        <bgColor indexed="64"/>
      </patternFill>
    </fill>
    <fill>
      <patternFill patternType="solid">
        <fgColor rgb="FFEAF5F2"/>
        <bgColor indexed="64"/>
      </patternFill>
    </fill>
    <fill>
      <patternFill patternType="solid">
        <fgColor rgb="FFFFF2DA"/>
        <bgColor indexed="64"/>
      </patternFill>
    </fill>
  </fills>
  <borders count="2">
    <border>
      <left/>
      <right/>
      <top/>
      <bottom/>
      <diagonal/>
    </border>
    <border>
      <left style="thin">
        <color rgb="FFD6E1DF"/>
      </left>
      <right style="thin">
        <color rgb="FFD6E1DF"/>
      </right>
      <top style="thin">
        <color rgb="FFD6E1DF"/>
      </top>
      <bottom style="thin">
        <color rgb="FFD6E1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ill="1" applyFont="1" applyBorder="1">
      <alignment horizontal="center" vertical="center" wrapText="1"/>
    </xf>
    <xf numFmtId="0" fontId="0" fillId="0" borderId="1" xfId="0" applyBorder="1">
      <alignment vertical="top" wrapText="1"/>
    </xf>
    <xf numFmtId="0" fontId="2" fillId="3" borderId="1" xfId="0" applyFill="1" applyFont="1" applyBorder="1">
      <alignment vertical="center" wrapText="1"/>
    </xf>
    <xf numFmtId="0" fontId="3" fillId="4" borderId="1" xfId="0" applyFill="1" applyFont="1" applyBorder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workbookViewId="0">
      <pane ySplit="1" topLeftCell="A2" activePane="bottomLeft" state="frozen"/>
    </sheetView>
  </sheetViews>
  <cols>
    <col min="1" max="1" width="22" customWidth="1"/>
    <col min="2" max="2" width="28" customWidth="1"/>
    <col min="3" max="3" width="30" customWidth="1"/>
    <col min="4" max="4" width="18" customWidth="1"/>
    <col min="5" max="5" width="24" customWidth="1"/>
    <col min="6" max="6" width="14" customWidth="1"/>
    <col min="7" max="7" width="36" customWidth="1"/>
    <col min="8" max="8" width="38" customWidth="1"/>
  </cols>
  <sheetData>
    <row r="1" ht="30" customHeight="1">
      <c r="A1" s="1" t="inlineStr">
        <is>
          <t>目的地</t>
        </is>
      </c>
      <c r="B1" s="1" t="inlineStr">
        <is>
          <t>主要场景</t>
        </is>
      </c>
      <c r="C1" s="1" t="inlineStr">
        <is>
          <t>路况关键词</t>
        </is>
      </c>
      <c r="D1" s="1" t="inlineStr">
        <is>
          <t>推荐车型</t>
        </is>
      </c>
      <c r="E1" s="1" t="inlineStr">
        <is>
          <t>适合人数</t>
        </is>
      </c>
      <c r="F1" s="1" t="inlineStr">
        <is>
          <t>新能源适配</t>
        </is>
      </c>
      <c r="G1" s="1" t="inlineStr">
        <is>
          <t>避坑提醒</t>
        </is>
      </c>
      <c r="H1" s="1" t="inlineStr">
        <is>
          <t>拍照/美食/游玩锚点</t>
        </is>
      </c>
    </row>
    <row r="2" ht="66" customHeight="1">
      <c r="A2" s="2" t="inlineStr">
        <is>
          <t>新疆伊犁环线</t>
        </is>
      </c>
      <c r="B2" s="2" t="inlineStr">
        <is>
          <t>草原、峡谷、雪山、长距离环线</t>
        </is>
      </c>
      <c r="C2" s="2" t="inlineStr">
        <is>
          <t>高速+省道+山区盘山，旺季车流大</t>
        </is>
      </c>
      <c r="D2" s="2" t="inlineStr">
        <is>
          <t>中型 SUV / SUV</t>
        </is>
      </c>
      <c r="E2" s="2" t="inlineStr">
        <is>
          <t>2-4 人；行李多选中型 SUV</t>
        </is>
      </c>
      <c r="F2" s="2" t="inlineStr">
        <is>
          <t>谨慎</t>
        </is>
      </c>
      <c r="G2" s="2" t="inlineStr">
        <is>
          <t>景点间距离长，提前确认油站、住宿和异地还车规则</t>
        </is>
      </c>
      <c r="H2" s="2" t="inlineStr">
        <is>
          <t>赛里木湖、那拉提、独库沿线、烤包子/手抓饭</t>
        </is>
      </c>
    </row>
    <row r="3" ht="66" customHeight="1">
      <c r="A3" s="2" t="inlineStr">
        <is>
          <t>甘南环线</t>
        </is>
      </c>
      <c r="B3" s="2" t="inlineStr">
        <is>
          <t>草原、寺院、峡谷、县城跳点</t>
        </is>
      </c>
      <c r="C3" s="2" t="inlineStr">
        <is>
          <t>国道+山路+高原路段，雨季注意塌方绕行</t>
        </is>
      </c>
      <c r="D3" s="2" t="inlineStr">
        <is>
          <t>SUV / 中型 SUV</t>
        </is>
      </c>
      <c r="E3" s="2" t="inlineStr">
        <is>
          <t>2-4 人；老人孩子注意高反节奏</t>
        </is>
      </c>
      <c r="F3" s="2" t="inlineStr">
        <is>
          <t>谨慎</t>
        </is>
      </c>
      <c r="G3" s="2" t="inlineStr">
        <is>
          <t>高原温差大，满载别选小排量低配车</t>
        </is>
      </c>
      <c r="H3" s="2" t="inlineStr">
        <is>
          <t>扎尕那、郎木寺、拉卜楞寺、藏餐牦牛肉</t>
        </is>
      </c>
    </row>
    <row r="4" ht="66" customHeight="1">
      <c r="A4" s="2" t="inlineStr">
        <is>
          <t>敦煌/河西走廊</t>
        </is>
      </c>
      <c r="B4" s="2" t="inlineStr">
        <is>
          <t>沙漠、戈壁、古城、长途串联</t>
        </is>
      </c>
      <c r="C4" s="2" t="inlineStr">
        <is>
          <t>高速+国道，日晒强、服务区间隔长</t>
        </is>
      </c>
      <c r="D4" s="2" t="inlineStr">
        <is>
          <t>舒适轿车 / SUV</t>
        </is>
      </c>
      <c r="E4" s="2" t="inlineStr">
        <is>
          <t>2-4 人；长线建议后备厢大</t>
        </is>
      </c>
      <c r="F4" s="2" t="inlineStr">
        <is>
          <t>谨慎</t>
        </is>
      </c>
      <c r="G4" s="2" t="inlineStr">
        <is>
          <t>别把车开进非铺装沙地，取车看胎压和备胎</t>
        </is>
      </c>
      <c r="H4" s="2" t="inlineStr">
        <is>
          <t>莫高窟、鸣沙山、嘉峪关、驴肉黄面</t>
        </is>
      </c>
    </row>
    <row r="5" ht="66" customHeight="1">
      <c r="A5" s="2" t="inlineStr">
        <is>
          <t>呼伦贝尔</t>
        </is>
      </c>
      <c r="B5" s="2" t="inlineStr">
        <is>
          <t>草原、边境公路、湿地、牧场</t>
        </is>
      </c>
      <c r="C5" s="2" t="inlineStr">
        <is>
          <t>省道+草原路，部分路段补给稀疏</t>
        </is>
      </c>
      <c r="D5" s="2" t="inlineStr">
        <is>
          <t>SUV / 中型 SUV</t>
        </is>
      </c>
      <c r="E5" s="2" t="inlineStr">
        <is>
          <t>2-5 人；亲子家庭优先 SUV</t>
        </is>
      </c>
      <c r="F5" s="2" t="inlineStr">
        <is>
          <t>谨慎</t>
        </is>
      </c>
      <c r="G5" s="2" t="inlineStr">
        <is>
          <t>草原路不要随意离开硬化道路，提前规划加油</t>
        </is>
      </c>
      <c r="H5" s="2" t="inlineStr">
        <is>
          <t>莫日格勒河、额尔古纳、满洲里、俄餐/羊肉</t>
        </is>
      </c>
    </row>
    <row r="6" ht="66" customHeight="1">
      <c r="A6" s="2" t="inlineStr">
        <is>
          <t>阿尔山</t>
        </is>
      </c>
      <c r="B6" s="2" t="inlineStr">
        <is>
          <t>森林、火山地貌、温泉、秋色</t>
        </is>
      </c>
      <c r="C6" s="2" t="inlineStr">
        <is>
          <t>山路+林区公路，早晚温差和雾气明显</t>
        </is>
      </c>
      <c r="D6" s="2" t="inlineStr">
        <is>
          <t>SUV</t>
        </is>
      </c>
      <c r="E6" s="2" t="inlineStr">
        <is>
          <t>2-4 人；摄影装备多选大后备厢</t>
        </is>
      </c>
      <c r="F6" s="2" t="inlineStr">
        <is>
          <t>谨慎</t>
        </is>
      </c>
      <c r="G6" s="2" t="inlineStr">
        <is>
          <t>冬春路面易结冰，租车确认雪地胎或防滑链政策</t>
        </is>
      </c>
      <c r="H6" s="2" t="inlineStr">
        <is>
          <t>阿尔山森林公园、不冻河、柴河月亮小镇</t>
        </is>
      </c>
    </row>
    <row r="7" ht="66" customHeight="1">
      <c r="A7" s="2" t="inlineStr">
        <is>
          <t>延吉</t>
        </is>
      </c>
      <c r="B7" s="2" t="inlineStr">
        <is>
          <t>城市美食、边境小城、短途周边</t>
        </is>
      </c>
      <c r="C7" s="2" t="inlineStr">
        <is>
          <t>城市路+高速，停车比山地路线更关键</t>
        </is>
      </c>
      <c r="D7" s="2" t="inlineStr">
        <is>
          <t>舒适轿车 / 紧凑 SUV</t>
        </is>
      </c>
      <c r="E7" s="2" t="inlineStr">
        <is>
          <t>2-4 人；美食短途选轿车也够</t>
        </is>
      </c>
      <c r="F7" s="2" t="inlineStr">
        <is>
          <t>可考虑</t>
        </is>
      </c>
      <c r="G7" s="2" t="inlineStr">
        <is>
          <t>市区停车紧张，旺季酒店最好带停车位</t>
        </is>
      </c>
      <c r="H7" s="2" t="inlineStr">
        <is>
          <t>延边大学墙、图们、朝鲜族烤肉/冷面</t>
        </is>
      </c>
    </row>
    <row r="8" ht="66" customHeight="1">
      <c r="A8" s="2" t="inlineStr">
        <is>
          <t>丽江到香格里拉</t>
        </is>
      </c>
      <c r="B8" s="2" t="inlineStr">
        <is>
          <t>雪山、峡谷、古城、高原短线</t>
        </is>
      </c>
      <c r="C8" s="2" t="inlineStr">
        <is>
          <t>国道+山路，海拔逐步上升</t>
        </is>
      </c>
      <c r="D8" s="2" t="inlineStr">
        <is>
          <t>SUV / 中型 SUV</t>
        </is>
      </c>
      <c r="E8" s="2" t="inlineStr">
        <is>
          <t>2-4 人；高反敏感人群放慢行程</t>
        </is>
      </c>
      <c r="F8" s="2" t="inlineStr">
        <is>
          <t>谨慎</t>
        </is>
      </c>
      <c r="G8" s="2" t="inlineStr">
        <is>
          <t>不要把行程排太满，夜间山路尽量不跑</t>
        </is>
      </c>
      <c r="H8" s="2" t="inlineStr">
        <is>
          <t>虎跳峡、独克宗、纳帕海、牦牛火锅</t>
        </is>
      </c>
    </row>
    <row r="9" ht="66" customHeight="1">
      <c r="A9" s="2" t="inlineStr">
        <is>
          <t>川西小环线</t>
        </is>
      </c>
      <c r="B9" s="2" t="inlineStr">
        <is>
          <t>雪山、草甸、藏寨、摄影路线</t>
        </is>
      </c>
      <c r="C9" s="2" t="inlineStr">
        <is>
          <t>高原山路+隧道+盘山，天气变化快</t>
        </is>
      </c>
      <c r="D9" s="2" t="inlineStr">
        <is>
          <t>中型 SUV / SUV</t>
        </is>
      </c>
      <c r="E9" s="2" t="inlineStr">
        <is>
          <t>2-4 人；满载优先中型 SUV</t>
        </is>
      </c>
      <c r="F9" s="2" t="inlineStr">
        <is>
          <t>谨慎</t>
        </is>
      </c>
      <c r="G9" s="2" t="inlineStr">
        <is>
          <t>确认轮胎、刹车和玻璃险，冬季关注路况管制</t>
        </is>
      </c>
      <c r="H9" s="2" t="inlineStr">
        <is>
          <t>四姑娘山、塔公、新都桥、牦牛肉汤锅</t>
        </is>
      </c>
    </row>
    <row r="10" ht="66" customHeight="1">
      <c r="A10" s="2" t="inlineStr">
        <is>
          <t>成都周边</t>
        </is>
      </c>
      <c r="B10" s="2" t="inlineStr">
        <is>
          <t>古镇、雪山近郊、亲子短途</t>
        </is>
      </c>
      <c r="C10" s="2" t="inlineStr">
        <is>
          <t>城市+高速+景区山路，周末堵车明显</t>
        </is>
      </c>
      <c r="D10" s="2" t="inlineStr">
        <is>
          <t>舒适轿车 / SUV</t>
        </is>
      </c>
      <c r="E10" s="2" t="inlineStr">
        <is>
          <t>2-5 人；家庭选 SUV 或 MPV</t>
        </is>
      </c>
      <c r="F10" s="2" t="inlineStr">
        <is>
          <t>可考虑</t>
        </is>
      </c>
      <c r="G10" s="2" t="inlineStr">
        <is>
          <t>周末早出城，景区停车费和堵车时间要预留</t>
        </is>
      </c>
      <c r="H10" s="2" t="inlineStr">
        <is>
          <t>都江堰、青城山、峨眉山、火锅/甜水面</t>
        </is>
      </c>
    </row>
    <row r="11" ht="66" customHeight="1">
      <c r="A11" s="2" t="inlineStr">
        <is>
          <t>重庆周边</t>
        </is>
      </c>
      <c r="B11" s="2" t="inlineStr">
        <is>
          <t>峡谷、武隆、山城周边短线</t>
        </is>
      </c>
      <c r="C11" s="2" t="inlineStr">
        <is>
          <t>高速+山路+立体城市道路</t>
        </is>
      </c>
      <c r="D11" s="2" t="inlineStr">
        <is>
          <t>SUV / 舒适轿车</t>
        </is>
      </c>
      <c r="E11" s="2" t="inlineStr">
        <is>
          <t>2-4 人；山路多选 SUV 更稳</t>
        </is>
      </c>
      <c r="F11" s="2" t="inlineStr">
        <is>
          <t>可考虑</t>
        </is>
      </c>
      <c r="G11" s="2" t="inlineStr">
        <is>
          <t>市区停车和导航绕路多，酒店停车先问清</t>
        </is>
      </c>
      <c r="H11" s="2" t="inlineStr">
        <is>
          <t>武隆、仙女山、龚滩古镇、江湖菜/小面</t>
        </is>
      </c>
    </row>
    <row r="12" ht="66" customHeight="1">
      <c r="A12" s="2" t="inlineStr">
        <is>
          <t>大理环洱海</t>
        </is>
      </c>
      <c r="B12" s="2" t="inlineStr">
        <is>
          <t>湖景、古镇、轻松旅拍</t>
        </is>
      </c>
      <c r="C12" s="2" t="inlineStr">
        <is>
          <t>环湖公路+城镇道路，限速和电动车多</t>
        </is>
      </c>
      <c r="D12" s="2" t="inlineStr">
        <is>
          <t>舒适轿车 / 小型 SUV</t>
        </is>
      </c>
      <c r="E12" s="2" t="inlineStr">
        <is>
          <t>2-4 人；旅拍轻装选轿车即可</t>
        </is>
      </c>
      <c r="F12" s="2" t="inlineStr">
        <is>
          <t>可考虑</t>
        </is>
      </c>
      <c r="G12" s="2" t="inlineStr">
        <is>
          <t>环海西路部分区域限行，别压线乱停拍照</t>
        </is>
      </c>
      <c r="H12" s="2" t="inlineStr">
        <is>
          <t>双廊、喜洲、海西稻田、乳扇/菌菇</t>
        </is>
      </c>
    </row>
    <row r="13" ht="66" customHeight="1">
      <c r="A13" s="2" t="inlineStr">
        <is>
          <t>贵阳/黔东南</t>
        </is>
      </c>
      <c r="B13" s="2" t="inlineStr">
        <is>
          <t>苗寨、侗寨、瀑布、县城串联</t>
        </is>
      </c>
      <c r="C13" s="2" t="inlineStr">
        <is>
          <t>高速+山路+村寨窄路，雨雾多</t>
        </is>
      </c>
      <c r="D13" s="2" t="inlineStr">
        <is>
          <t>SUV / 舒适轿车</t>
        </is>
      </c>
      <c r="E13" s="2" t="inlineStr">
        <is>
          <t>2-4 人；多人行李多选 SUV</t>
        </is>
      </c>
      <c r="F13" s="2" t="inlineStr">
        <is>
          <t>谨慎</t>
        </is>
      </c>
      <c r="G13" s="2" t="inlineStr">
        <is>
          <t>雨季谨慎夜驾，村寨停车场位置提前查</t>
        </is>
      </c>
      <c r="H13" s="2" t="inlineStr">
        <is>
          <t>西江千户苗寨、肇兴侗寨、酸汤鱼</t>
        </is>
      </c>
    </row>
    <row r="14" ht="66" customHeight="1">
      <c r="A14" s="2" t="inlineStr">
        <is>
          <t>腾冲</t>
        </is>
      </c>
      <c r="B14" s="2" t="inlineStr">
        <is>
          <t>火山、热海、古镇、边城慢游</t>
        </is>
      </c>
      <c r="C14" s="2" t="inlineStr">
        <is>
          <t>山路+县道，部分景点间车程不短</t>
        </is>
      </c>
      <c r="D14" s="2" t="inlineStr">
        <is>
          <t>SUV / 舒适轿车</t>
        </is>
      </c>
      <c r="E14" s="2" t="inlineStr">
        <is>
          <t>2-4 人；慢游可选舒适轿车</t>
        </is>
      </c>
      <c r="F14" s="2" t="inlineStr">
        <is>
          <t>谨慎</t>
        </is>
      </c>
      <c r="G14" s="2" t="inlineStr">
        <is>
          <t>景点分散，别只按直线距离估时间</t>
        </is>
      </c>
      <c r="H14" s="2" t="inlineStr">
        <is>
          <t>和顺古镇、热海、银杏村、土锅子/饵丝</t>
        </is>
      </c>
    </row>
    <row r="15" ht="66" customHeight="1">
      <c r="A15" s="2" t="inlineStr">
        <is>
          <t>青岛/胶东半岛</t>
        </is>
      </c>
      <c r="B15" s="2" t="inlineStr">
        <is>
          <t>海岸线、城市街区、半岛串联</t>
        </is>
      </c>
      <c r="C15" s="2" t="inlineStr">
        <is>
          <t>城市路+高速+海边停车，旺季拥堵</t>
        </is>
      </c>
      <c r="D15" s="2" t="inlineStr">
        <is>
          <t>舒适轿车 / SUV</t>
        </is>
      </c>
      <c r="E15" s="2" t="inlineStr">
        <is>
          <t>2-4 人；家庭行李多选 SUV</t>
        </is>
      </c>
      <c r="F15" s="2" t="inlineStr">
        <is>
          <t>可考虑</t>
        </is>
      </c>
      <c r="G15" s="2" t="inlineStr">
        <is>
          <t>老城停车难，海边景点尽量错峰</t>
        </is>
      </c>
      <c r="H15" s="2" t="inlineStr">
        <is>
          <t>八大关、崂山、威海烟台串线、海鲜/啤酒</t>
        </is>
      </c>
    </row>
    <row r="16" ht="66" customHeight="1">
      <c r="A16" s="2" t="inlineStr">
        <is>
          <t>威海</t>
        </is>
      </c>
      <c r="B16" s="2" t="inlineStr">
        <is>
          <t>海岸公路、亲子、慢节奏旅拍</t>
        </is>
      </c>
      <c r="C16" s="2" t="inlineStr">
        <is>
          <t>城市+环海路，景点停车需求高</t>
        </is>
      </c>
      <c r="D16" s="2" t="inlineStr">
        <is>
          <t>舒适轿车 / 小型 SUV</t>
        </is>
      </c>
      <c r="E16" s="2" t="inlineStr">
        <is>
          <t>2-4 人；情侣亲子都适合</t>
        </is>
      </c>
      <c r="F16" s="2" t="inlineStr">
        <is>
          <t>可考虑</t>
        </is>
      </c>
      <c r="G16" s="2" t="inlineStr">
        <is>
          <t>热门海滩停车紧张，早晚拍照更顺</t>
        </is>
      </c>
      <c r="H16" s="2" t="inlineStr">
        <is>
          <t>火炬八街、那香海、刘公岛、韩餐/海鲜</t>
        </is>
      </c>
    </row>
    <row r="17" ht="66" customHeight="1">
      <c r="A17" s="2" t="inlineStr">
        <is>
          <t>烟台</t>
        </is>
      </c>
      <c r="B17" s="2" t="inlineStr">
        <is>
          <t>海岸、葡萄酒庄、蓬莱长岛</t>
        </is>
      </c>
      <c r="C17" s="2" t="inlineStr">
        <is>
          <t>城市路+高速，港口/码头需看时间</t>
        </is>
      </c>
      <c r="D17" s="2" t="inlineStr">
        <is>
          <t>舒适轿车 / SUV</t>
        </is>
      </c>
      <c r="E17" s="2" t="inlineStr">
        <is>
          <t>2-4 人；长岛段注意车辆上岛规则</t>
        </is>
      </c>
      <c r="F17" s="2" t="inlineStr">
        <is>
          <t>可考虑</t>
        </is>
      </c>
      <c r="G17" s="2" t="inlineStr">
        <is>
          <t>涉及船票时不要把还车时间卡太死</t>
        </is>
      </c>
      <c r="H17" s="2" t="inlineStr">
        <is>
          <t>养马岛、蓬莱阁、长岛、鲅鱼饺子/海肠饭</t>
        </is>
      </c>
    </row>
    <row r="18" ht="66" customHeight="1">
      <c r="A18" s="2" t="inlineStr">
        <is>
          <t>大连</t>
        </is>
      </c>
      <c r="B18" s="2" t="inlineStr">
        <is>
          <t>滨海路、广场、海岛近郊</t>
        </is>
      </c>
      <c r="C18" s="2" t="inlineStr">
        <is>
          <t>城市坡路+滨海弯道，停车点分散</t>
        </is>
      </c>
      <c r="D18" s="2" t="inlineStr">
        <is>
          <t>舒适轿车 / SUV</t>
        </is>
      </c>
      <c r="E18" s="2" t="inlineStr">
        <is>
          <t>2-4 人；亲子行李多选 SUV</t>
        </is>
      </c>
      <c r="F18" s="2" t="inlineStr">
        <is>
          <t>可考虑</t>
        </is>
      </c>
      <c r="G18" s="2" t="inlineStr">
        <is>
          <t>滨海路拍照别临停影响交通</t>
        </is>
      </c>
      <c r="H18" s="2" t="inlineStr">
        <is>
          <t>星海广场、金石滩、旅顺、海胆/焖子</t>
        </is>
      </c>
    </row>
    <row r="19" ht="66" customHeight="1">
      <c r="A19" s="2" t="inlineStr">
        <is>
          <t>秦皇岛/阿那亚</t>
        </is>
      </c>
      <c r="B19" s="2" t="inlineStr">
        <is>
          <t>海边度假、社区、亲子周末</t>
        </is>
      </c>
      <c r="C19" s="2" t="inlineStr">
        <is>
          <t>高速+度假区道路，节假日进出慢</t>
        </is>
      </c>
      <c r="D19" s="2" t="inlineStr">
        <is>
          <t>舒适轿车 / SUV</t>
        </is>
      </c>
      <c r="E19" s="2" t="inlineStr">
        <is>
          <t>2-5 人；家庭可选 SUV 或 MPV</t>
        </is>
      </c>
      <c r="F19" s="2" t="inlineStr">
        <is>
          <t>可考虑</t>
        </is>
      </c>
      <c r="G19" s="2" t="inlineStr">
        <is>
          <t>确认住宿停车权益，旺季提前预约园区</t>
        </is>
      </c>
      <c r="H19" s="2" t="inlineStr">
        <is>
          <t>阿那亚礼堂、鸽子窝、山海关、海鲜烧烤</t>
        </is>
      </c>
    </row>
    <row r="20" ht="66" customHeight="1">
      <c r="A20" s="2" t="inlineStr">
        <is>
          <t>日照</t>
        </is>
      </c>
      <c r="B20" s="2" t="inlineStr">
        <is>
          <t>海滨、森林公园、亲子露营</t>
        </is>
      </c>
      <c r="C20" s="2" t="inlineStr">
        <is>
          <t>城市+海边景区路，停车场较集中</t>
        </is>
      </c>
      <c r="D20" s="2" t="inlineStr">
        <is>
          <t>舒适轿车 / 小型 SUV</t>
        </is>
      </c>
      <c r="E20" s="2" t="inlineStr">
        <is>
          <t>2-4 人；轻装周末选轿车</t>
        </is>
      </c>
      <c r="F20" s="2" t="inlineStr">
        <is>
          <t>可考虑</t>
        </is>
      </c>
      <c r="G20" s="2" t="inlineStr">
        <is>
          <t>赶海装备多时留后备厢空间</t>
        </is>
      </c>
      <c r="H20" s="2" t="inlineStr">
        <is>
          <t>万平口、海滨森林公园、赶海、海鲜蒸汽锅</t>
        </is>
      </c>
    </row>
    <row r="21" ht="66" customHeight="1">
      <c r="A21" s="2" t="inlineStr">
        <is>
          <t>平潭岛</t>
        </is>
      </c>
      <c r="B21" s="2" t="inlineStr">
        <is>
          <t>海岛环线、风车海、蓝眼泪</t>
        </is>
      </c>
      <c r="C21" s="2" t="inlineStr">
        <is>
          <t>环岛路+村镇窄路，风大日晒强</t>
        </is>
      </c>
      <c r="D21" s="2" t="inlineStr">
        <is>
          <t>小型 SUV / 舒适轿车</t>
        </is>
      </c>
      <c r="E21" s="2" t="inlineStr">
        <is>
          <t>2-4 人；旅拍轻装足够</t>
        </is>
      </c>
      <c r="F21" s="2" t="inlineStr">
        <is>
          <t>可考虑</t>
        </is>
      </c>
      <c r="G21" s="2" t="inlineStr">
        <is>
          <t>追蓝眼泪别疲劳夜驾，海边风沙注意车门</t>
        </is>
      </c>
      <c r="H21" s="2" t="inlineStr">
        <is>
          <t>北部湾、长江澳、猴研岛、海蛎煎</t>
        </is>
      </c>
    </row>
    <row r="22" ht="66" customHeight="1">
      <c r="A22" s="2" t="inlineStr">
        <is>
          <t>厦门/漳州</t>
        </is>
      </c>
      <c r="B22" s="2" t="inlineStr">
        <is>
          <t>城市海岸、土楼、火山岛</t>
        </is>
      </c>
      <c r="C22" s="2" t="inlineStr">
        <is>
          <t>城市停车+高速+县道，景点分散</t>
        </is>
      </c>
      <c r="D22" s="2" t="inlineStr">
        <is>
          <t>舒适轿车 / SUV</t>
        </is>
      </c>
      <c r="E22" s="2" t="inlineStr">
        <is>
          <t>2-4 人；土楼一日线选 SUV 更稳</t>
        </is>
      </c>
      <c r="F22" s="2" t="inlineStr">
        <is>
          <t>可考虑</t>
        </is>
      </c>
      <c r="G22" s="2" t="inlineStr">
        <is>
          <t>厦门岛内停车贵，土楼线别当天排太满</t>
        </is>
      </c>
      <c r="H22" s="2" t="inlineStr">
        <is>
          <t>环岛路、云水谣、火山岛、沙茶面/姜母鸭</t>
        </is>
      </c>
    </row>
    <row r="23" ht="66" customHeight="1">
      <c r="A23" s="2" t="inlineStr">
        <is>
          <t>海南环岛</t>
        </is>
      </c>
      <c r="B23" s="2" t="inlineStr">
        <is>
          <t>海岛环线、亲子、冲浪、雨林</t>
        </is>
      </c>
      <c r="C23" s="2" t="inlineStr">
        <is>
          <t>高速免费+环岛路，景点间距离长</t>
        </is>
      </c>
      <c r="D23" s="2" t="inlineStr">
        <is>
          <t>SUV / 舒适轿车 / MPV</t>
        </is>
      </c>
      <c r="E23" s="2" t="inlineStr">
        <is>
          <t>2-5 人；亲子多人选 MPV 或 SUV</t>
        </is>
      </c>
      <c r="F23" s="2" t="inlineStr">
        <is>
          <t>可考虑</t>
        </is>
      </c>
      <c r="G23" s="2" t="inlineStr">
        <is>
          <t>异地还车和机场取还车费用提前算进预算</t>
        </is>
      </c>
      <c r="H23" s="2" t="inlineStr">
        <is>
          <t>万宁、陵水、三亚、文昌鸡/清补凉</t>
        </is>
      </c>
    </row>
    <row r="24" ht="66" customHeight="1">
      <c r="A24" s="2" t="inlineStr">
        <is>
          <t>杭州/千岛湖</t>
        </is>
      </c>
      <c r="B24" s="2" t="inlineStr">
        <is>
          <t>城市+湖区+亲子短途</t>
        </is>
      </c>
      <c r="C24" s="2" t="inlineStr">
        <is>
          <t>城市拥堵+高速+湖边弯道</t>
        </is>
      </c>
      <c r="D24" s="2" t="inlineStr">
        <is>
          <t>舒适轿车 / SUV</t>
        </is>
      </c>
      <c r="E24" s="2" t="inlineStr">
        <is>
          <t>2-4 人；亲子行李多选 SUV</t>
        </is>
      </c>
      <c r="F24" s="2" t="inlineStr">
        <is>
          <t>可考虑</t>
        </is>
      </c>
      <c r="G24" s="2" t="inlineStr">
        <is>
          <t>杭州限行和酒店停车先确认</t>
        </is>
      </c>
      <c r="H24" s="2" t="inlineStr">
        <is>
          <t>西湖、千岛湖环湖、富阳桐庐、鱼头汤</t>
        </is>
      </c>
    </row>
    <row r="25" ht="66" customHeight="1">
      <c r="A25" s="2" t="inlineStr">
        <is>
          <t>南京/皖南川藏线</t>
        </is>
      </c>
      <c r="B25" s="2" t="inlineStr">
        <is>
          <t>城市历史、古村、山路自驾</t>
        </is>
      </c>
      <c r="C25" s="2" t="inlineStr">
        <is>
          <t>城市+高速+皖南山路，弯道多</t>
        </is>
      </c>
      <c r="D25" s="2" t="inlineStr">
        <is>
          <t>SUV / 舒适轿车</t>
        </is>
      </c>
      <c r="E25" s="2" t="inlineStr">
        <is>
          <t>2-4 人；山路新手选车身别太大</t>
        </is>
      </c>
      <c r="F25" s="2" t="inlineStr">
        <is>
          <t>谨慎</t>
        </is>
      </c>
      <c r="G25" s="2" t="inlineStr">
        <is>
          <t>皖南山路雨后谨慎，避开夜间穿越</t>
        </is>
      </c>
      <c r="H25" s="2" t="inlineStr">
        <is>
          <t>南京城墙、宏村、月亮湾、徽菜/鸭血粉丝</t>
        </is>
      </c>
    </row>
    <row r="26" ht="66" customHeight="1">
      <c r="A26" s="2" t="inlineStr">
        <is>
          <t>苏州/太湖</t>
        </is>
      </c>
      <c r="B26" s="2" t="inlineStr">
        <is>
          <t>园林、古镇、湖边周末游</t>
        </is>
      </c>
      <c r="C26" s="2" t="inlineStr">
        <is>
          <t>城市停车+湖边道路，短途密集</t>
        </is>
      </c>
      <c r="D26" s="2" t="inlineStr">
        <is>
          <t>紧凑车 / 舒适轿车</t>
        </is>
      </c>
      <c r="E26" s="2" t="inlineStr">
        <is>
          <t>2-4 人；停车优先选小车</t>
        </is>
      </c>
      <c r="F26" s="2" t="inlineStr">
        <is>
          <t>可考虑</t>
        </is>
      </c>
      <c r="G26" s="2" t="inlineStr">
        <is>
          <t>古镇停车步行距离要预留</t>
        </is>
      </c>
      <c r="H26" s="2" t="inlineStr">
        <is>
          <t>西山岛、东山、同里、苏帮菜/碧螺虾仁</t>
        </is>
      </c>
    </row>
    <row r="27" ht="66" customHeight="1">
      <c r="A27" s="2" t="inlineStr">
        <is>
          <t>长沙及周边</t>
        </is>
      </c>
      <c r="B27" s="2" t="inlineStr">
        <is>
          <t>城市美食、岳麓山、周边短途</t>
        </is>
      </c>
      <c r="C27" s="2" t="inlineStr">
        <is>
          <t>城市拥堵+高速，夜生活停车紧张</t>
        </is>
      </c>
      <c r="D27" s="2" t="inlineStr">
        <is>
          <t>舒适轿车 / 小型 SUV</t>
        </is>
      </c>
      <c r="E27" s="2" t="inlineStr">
        <is>
          <t>2-4 人；短途选轿车性价比高</t>
        </is>
      </c>
      <c r="F27" s="2" t="inlineStr">
        <is>
          <t>可考虑</t>
        </is>
      </c>
      <c r="G27" s="2" t="inlineStr">
        <is>
          <t>市区尽量选带停车酒店，别在夜市周边硬找车位</t>
        </is>
      </c>
      <c r="H27" s="2" t="inlineStr">
        <is>
          <t>橘子洲、岳麓山、靖港古镇、臭豆腐/茶颜</t>
        </is>
      </c>
    </row>
    <row r="28" ht="66" customHeight="1">
      <c r="A28" s="2" t="inlineStr">
        <is>
          <t>桂林阳朔</t>
        </is>
      </c>
      <c r="B28" s="2" t="inlineStr">
        <is>
          <t>喀斯特山水、骑行、亲子慢游</t>
        </is>
      </c>
      <c r="C28" s="2" t="inlineStr">
        <is>
          <t>高速+县道+景区窄路，电动车多</t>
        </is>
      </c>
      <c r="D28" s="2" t="inlineStr">
        <is>
          <t>舒适轿车 / SUV</t>
        </is>
      </c>
      <c r="E28" s="2" t="inlineStr">
        <is>
          <t>2-4 人；多人行李多选 SUV</t>
        </is>
      </c>
      <c r="F28" s="2" t="inlineStr">
        <is>
          <t>可考虑</t>
        </is>
      </c>
      <c r="G28" s="2" t="inlineStr">
        <is>
          <t>阳朔景区停车分散，民宿停车提前问</t>
        </is>
      </c>
      <c r="H28" s="2" t="inlineStr">
        <is>
          <t>遇龙河、十里画廊、兴坪、啤酒鱼/桂林米粉</t>
        </is>
      </c>
    </row>
    <row r="29" ht="66" customHeight="1">
      <c r="A29" s="2" t="inlineStr">
        <is>
          <t>张家界</t>
        </is>
      </c>
      <c r="B29" s="2" t="inlineStr">
        <is>
          <t>山地景区、玻璃桥、森林公园</t>
        </is>
      </c>
      <c r="C29" s="2" t="inlineStr">
        <is>
          <t>高速+山路，景区换乘多</t>
        </is>
      </c>
      <c r="D29" s="2" t="inlineStr">
        <is>
          <t>SUV / 舒适轿车</t>
        </is>
      </c>
      <c r="E29" s="2" t="inlineStr">
        <is>
          <t>2-4 人；山路多选 SUV 更舒服</t>
        </is>
      </c>
      <c r="F29" s="2" t="inlineStr">
        <is>
          <t>谨慎</t>
        </is>
      </c>
      <c r="G29" s="2" t="inlineStr">
        <is>
          <t>景区内不用车时间多，租车天数别浪费</t>
        </is>
      </c>
      <c r="H29" s="2" t="inlineStr">
        <is>
          <t>武陵源、天门山、大峡谷、三下锅</t>
        </is>
      </c>
    </row>
    <row r="30" ht="66" customHeight="1">
      <c r="A30" s="2" t="inlineStr">
        <is>
          <t>恩施</t>
        </is>
      </c>
      <c r="B30" s="2" t="inlineStr">
        <is>
          <t>峡谷、土司城、山地避暑</t>
        </is>
      </c>
      <c r="C30" s="2" t="inlineStr">
        <is>
          <t>高速+山路+隧道，雨雾多</t>
        </is>
      </c>
      <c r="D30" s="2" t="inlineStr">
        <is>
          <t>SUV / 中型 SUV</t>
        </is>
      </c>
      <c r="E30" s="2" t="inlineStr">
        <is>
          <t>2-4 人；满载优先 SUV</t>
        </is>
      </c>
      <c r="F30" s="2" t="inlineStr">
        <is>
          <t>谨慎</t>
        </is>
      </c>
      <c r="G30" s="2" t="inlineStr">
        <is>
          <t>山路和天气对时间影响大，留出机动日</t>
        </is>
      </c>
      <c r="H30" s="2" t="inlineStr">
        <is>
          <t>恩施大峡谷、鹿院坪、土家菜/合渣</t>
        </is>
      </c>
    </row>
    <row r="31" ht="66" customHeight="1">
      <c r="A31" s="2" t="inlineStr">
        <is>
          <t>武功山</t>
        </is>
      </c>
      <c r="B31" s="2" t="inlineStr">
        <is>
          <t>徒步、草甸、云海、周末短线</t>
        </is>
      </c>
      <c r="C31" s="2" t="inlineStr">
        <is>
          <t>高速+景区山路，停车集中</t>
        </is>
      </c>
      <c r="D31" s="2" t="inlineStr">
        <is>
          <t>舒适轿车 / 小型 SUV</t>
        </is>
      </c>
      <c r="E31" s="2" t="inlineStr">
        <is>
          <t>2-4 人；装备多选 SUV</t>
        </is>
      </c>
      <c r="F31" s="2" t="inlineStr">
        <is>
          <t>可考虑</t>
        </is>
      </c>
      <c r="G31" s="2" t="inlineStr">
        <is>
          <t>徒步后疲劳，返程别安排长时间夜驾</t>
        </is>
      </c>
      <c r="H31" s="2" t="inlineStr">
        <is>
          <t>金顶、发云界、萍乡小炒、露营装备</t>
        </is>
      </c>
    </row>
  </sheetData>
  <autoFilter ref="A1:H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5"/>
  <sheetViews>
    <sheetView workbookViewId="0">
      <pane ySplit="1" topLeftCell="A2" activePane="bottomLeft" state="frozen"/>
    </sheetView>
  </sheetViews>
  <cols>
    <col min="1" max="1" width="18" customWidth="1"/>
    <col min="2" max="2" width="36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2" customWidth="1"/>
    <col min="10" max="10" width="42" customWidth="1"/>
  </cols>
  <sheetData>
    <row r="1" ht="30" customHeight="1">
      <c r="A1" s="1" t="inlineStr">
        <is>
          <t>费用项</t>
        </is>
      </c>
      <c r="B1" s="1" t="inlineStr">
        <is>
          <t>估算逻辑</t>
        </is>
      </c>
      <c r="C1" s="1" t="inlineStr">
        <is>
          <t>单价/总价</t>
        </is>
      </c>
      <c r="D1" s="1" t="inlineStr">
        <is>
          <t>数量/天数</t>
        </is>
      </c>
      <c r="E1" s="1" t="inlineStr">
        <is>
          <t>人数/车数</t>
        </is>
      </c>
      <c r="F1" s="1" t="inlineStr">
        <is>
          <t>预算金额</t>
        </is>
      </c>
      <c r="G1" s="1" t="inlineStr">
        <is>
          <t>实际金额</t>
        </is>
      </c>
      <c r="H1" s="1" t="inlineStr">
        <is>
          <t>差额</t>
        </is>
      </c>
      <c r="I1" s="1" t="inlineStr">
        <is>
          <t>是否必选</t>
        </is>
      </c>
      <c r="J1" s="1" t="inlineStr">
        <is>
          <t>备注</t>
        </is>
      </c>
    </row>
    <row r="2" ht="58" customHeight="1">
      <c r="A2" s="2" t="inlineStr">
        <is>
          <t>大交通</t>
        </is>
      </c>
      <c r="B2" s="2" t="inlineStr">
        <is>
          <t>机票/高铁往返；按人计算</t>
        </is>
      </c>
      <c r="C2" s="4"/>
      <c r="D2" s="4"/>
      <c r="E2" s="4"/>
      <c r="F2" s="4">
        <f>IF(OR(C2="",D2="",E2=""),"",C2*D2*E2)</f>
      </c>
      <c r="G2" s="4"/>
      <c r="H2" s="4">
        <f>IF(OR(F2="",G2=""),"",G2-F2)</f>
      </c>
      <c r="I2" s="2" t="inlineStr">
        <is>
          <t>必选</t>
        </is>
      </c>
      <c r="J2" s="2" t="inlineStr">
        <is>
          <t>节假日建议先锁大交通，再定租车和酒店</t>
        </is>
      </c>
    </row>
    <row r="3" ht="58" customHeight="1">
      <c r="A3" s="2" t="inlineStr">
        <is>
          <t>租车基础租金</t>
        </is>
      </c>
      <c r="B3" s="2" t="inlineStr">
        <is>
          <t>平台总价或日租价×天数×车辆数</t>
        </is>
      </c>
      <c r="C3" s="4"/>
      <c r="D3" s="4"/>
      <c r="E3" s="4"/>
      <c r="F3" s="4">
        <f>IF(OR(C3="",D3="",E3=""),"",C3*D3*E3)</f>
      </c>
      <c r="G3" s="4"/>
      <c r="H3" s="4">
        <f>IF(OR(F3="",G3=""),"",G3-F3)</f>
      </c>
      <c r="I3" s="2" t="inlineStr">
        <is>
          <t>必选</t>
        </is>
      </c>
      <c r="J3" s="2" t="inlineStr">
        <is>
          <t>用最终支付页总价，不只看首页低价</t>
        </is>
      </c>
    </row>
    <row r="4" ht="58" customHeight="1">
      <c r="A4" s="2" t="inlineStr">
        <is>
          <t>基础保险/补充保障</t>
        </is>
      </c>
      <c r="B4" s="2" t="inlineStr">
        <is>
          <t>基础保障+不计免赔/补充险；按天或订单</t>
        </is>
      </c>
      <c r="C4" s="4"/>
      <c r="D4" s="4"/>
      <c r="E4" s="4"/>
      <c r="F4" s="4">
        <f>IF(OR(C4="",D4="",E4=""),"",C4*D4*E4)</f>
      </c>
      <c r="G4" s="4"/>
      <c r="H4" s="4">
        <f>IF(OR(F4="",G4=""),"",G4-F4)</f>
      </c>
      <c r="I4" s="2" t="inlineStr">
        <is>
          <t>建议</t>
        </is>
      </c>
      <c r="J4" s="2" t="inlineStr">
        <is>
          <t>山路、长线、海边旺季建议买足保障</t>
        </is>
      </c>
    </row>
    <row r="5" ht="58" customHeight="1">
      <c r="A5" s="2" t="inlineStr">
        <is>
          <t>异地还车/手续费</t>
        </is>
      </c>
      <c r="B5" s="2" t="inlineStr">
        <is>
          <t>如机场取还、跨城还车、夜间服务费</t>
        </is>
      </c>
      <c r="C5" s="4"/>
      <c r="D5" s="4"/>
      <c r="E5" s="4"/>
      <c r="F5" s="4">
        <f>IF(OR(C5="",D5="",E5=""),"",C5*D5*E5)</f>
      </c>
      <c r="G5" s="4"/>
      <c r="H5" s="4">
        <f>IF(OR(F5="",G5=""),"",G5-F5)</f>
      </c>
      <c r="I5" s="2" t="inlineStr">
        <is>
          <t>可选</t>
        </is>
      </c>
      <c r="J5" s="2" t="inlineStr">
        <is>
          <t>海南、新疆、河西等长线尤其要提前看</t>
        </is>
      </c>
    </row>
    <row r="6" ht="58" customHeight="1">
      <c r="A6" s="2" t="inlineStr">
        <is>
          <t>油费/电费</t>
        </is>
      </c>
      <c r="B6" s="2" t="inlineStr">
        <is>
          <t>预估里程×油耗/电耗；也可直接填总额</t>
        </is>
      </c>
      <c r="C6" s="4"/>
      <c r="D6" s="4"/>
      <c r="E6" s="4"/>
      <c r="F6" s="4">
        <f>IF(OR(C6="",D6="",E6=""),"",C6*D6*E6)</f>
      </c>
      <c r="G6" s="4"/>
      <c r="H6" s="4">
        <f>IF(OR(F6="",G6=""),"",G6-F6)</f>
      </c>
      <c r="I6" s="2" t="inlineStr">
        <is>
          <t>必选</t>
        </is>
      </c>
      <c r="J6" s="2" t="inlineStr">
        <is>
          <t>长线按 10%-15% 预留冗余</t>
        </is>
      </c>
    </row>
    <row r="7" ht="58" customHeight="1">
      <c r="A7" s="2" t="inlineStr">
        <is>
          <t>过路费</t>
        </is>
      </c>
      <c r="B7" s="2" t="inlineStr">
        <is>
          <t>高速/桥隧费用；按路线估算</t>
        </is>
      </c>
      <c r="C7" s="4"/>
      <c r="D7" s="4"/>
      <c r="E7" s="4"/>
      <c r="F7" s="4">
        <f>IF(OR(C7="",D7="",E7=""),"",C7*D7*E7)</f>
      </c>
      <c r="G7" s="4"/>
      <c r="H7" s="4">
        <f>IF(OR(F7="",G7=""),"",G7-F7)</f>
      </c>
      <c r="I7" s="2" t="inlineStr">
        <is>
          <t>必选</t>
        </is>
      </c>
      <c r="J7" s="2" t="inlineStr">
        <is>
          <t>海南高速免费但油价通常更高</t>
        </is>
      </c>
    </row>
    <row r="8" ht="58" customHeight="1">
      <c r="A8" s="2" t="inlineStr">
        <is>
          <t>停车费</t>
        </is>
      </c>
      <c r="B8" s="2" t="inlineStr">
        <is>
          <t>酒店、景区、城市停车；按天或点位</t>
        </is>
      </c>
      <c r="C8" s="4"/>
      <c r="D8" s="4"/>
      <c r="E8" s="4"/>
      <c r="F8" s="4">
        <f>IF(OR(C8="",D8="",E8=""),"",C8*D8*E8)</f>
      </c>
      <c r="G8" s="4"/>
      <c r="H8" s="4">
        <f>IF(OR(F8="",G8=""),"",G8-F8)</f>
      </c>
      <c r="I8" s="2" t="inlineStr">
        <is>
          <t>必选</t>
        </is>
      </c>
      <c r="J8" s="2" t="inlineStr">
        <is>
          <t>热门海边和古城停车费不要漏算</t>
        </is>
      </c>
    </row>
    <row r="9" ht="58" customHeight="1">
      <c r="A9" s="2" t="inlineStr">
        <is>
          <t>酒店住宿</t>
        </is>
      </c>
      <c r="B9" s="2" t="inlineStr">
        <is>
          <t>房价×晚数×房间数</t>
        </is>
      </c>
      <c r="C9" s="4"/>
      <c r="D9" s="4"/>
      <c r="E9" s="4"/>
      <c r="F9" s="4">
        <f>IF(OR(C9="",D9="",E9=""),"",C9*D9*E9)</f>
      </c>
      <c r="G9" s="4"/>
      <c r="H9" s="4">
        <f>IF(OR(F9="",G9=""),"",G9-F9)</f>
      </c>
      <c r="I9" s="2" t="inlineStr">
        <is>
          <t>必选</t>
        </is>
      </c>
      <c r="J9" s="2" t="inlineStr">
        <is>
          <t>带停车位的酒店优先级更高</t>
        </is>
      </c>
    </row>
    <row r="10" ht="58" customHeight="1">
      <c r="A10" s="2" t="inlineStr">
        <is>
          <t>门票</t>
        </is>
      </c>
      <c r="B10" s="2" t="inlineStr">
        <is>
          <t>景区门票×人数</t>
        </is>
      </c>
      <c r="C10" s="4"/>
      <c r="D10" s="4"/>
      <c r="E10" s="4"/>
      <c r="F10" s="4">
        <f>IF(OR(C10="",D10="",E10=""),"",C10*D10*E10)</f>
      </c>
      <c r="G10" s="4"/>
      <c r="H10" s="4">
        <f>IF(OR(F10="",G10=""),"",G10-F10)</f>
      </c>
      <c r="I10" s="2" t="inlineStr">
        <is>
          <t>可选</t>
        </is>
      </c>
      <c r="J10" s="2" t="inlineStr">
        <is>
          <t>免费景区也可能有摆渡车或预约成本</t>
        </is>
      </c>
    </row>
    <row r="11" ht="58" customHeight="1">
      <c r="A11" s="2" t="inlineStr">
        <is>
          <t>景区项目/索道</t>
        </is>
      </c>
      <c r="B11" s="2" t="inlineStr">
        <is>
          <t>索道、船票、观光车、冲浪、骑马等</t>
        </is>
      </c>
      <c r="C11" s="4"/>
      <c r="D11" s="4"/>
      <c r="E11" s="4"/>
      <c r="F11" s="4">
        <f>IF(OR(C11="",D11="",E11=""),"",C11*D11*E11)</f>
      </c>
      <c r="G11" s="4"/>
      <c r="H11" s="4">
        <f>IF(OR(F11="",G11=""),"",G11-F11)</f>
      </c>
      <c r="I11" s="2" t="inlineStr">
        <is>
          <t>可选</t>
        </is>
      </c>
      <c r="J11" s="2" t="inlineStr">
        <is>
          <t>把可玩可不玩的项目单独列出来</t>
        </is>
      </c>
    </row>
    <row r="12" ht="58" customHeight="1">
      <c r="A12" s="2" t="inlineStr">
        <is>
          <t>饮食</t>
        </is>
      </c>
      <c r="B12" s="2" t="inlineStr">
        <is>
          <t>人均餐费×天数×人数</t>
        </is>
      </c>
      <c r="C12" s="4"/>
      <c r="D12" s="4"/>
      <c r="E12" s="4"/>
      <c r="F12" s="4">
        <f>IF(OR(C12="",D12="",E12=""),"",C12*D12*E12)</f>
      </c>
      <c r="G12" s="4"/>
      <c r="H12" s="4">
        <f>IF(OR(F12="",G12=""),"",G12-F12)</f>
      </c>
      <c r="I12" s="2" t="inlineStr">
        <is>
          <t>必选</t>
        </is>
      </c>
      <c r="J12" s="2" t="inlineStr">
        <is>
          <t>特色餐可单独加一笔预算</t>
        </is>
      </c>
    </row>
    <row r="13" ht="58" customHeight="1">
      <c r="A13" s="2" t="inlineStr">
        <is>
          <t>其他</t>
        </is>
      </c>
      <c r="B13" s="2" t="inlineStr">
        <is>
          <t>装备、洗车、儿童座椅、行李寄存等</t>
        </is>
      </c>
      <c r="C13" s="4"/>
      <c r="D13" s="4"/>
      <c r="E13" s="4"/>
      <c r="F13" s="4">
        <f>IF(OR(C13="",D13="",E13=""),"",C13*D13*E13)</f>
      </c>
      <c r="G13" s="4"/>
      <c r="H13" s="4">
        <f>IF(OR(F13="",G13=""),"",G13-F13)</f>
      </c>
      <c r="I13" s="2" t="inlineStr">
        <is>
          <t>可选</t>
        </is>
      </c>
      <c r="J13" s="2" t="inlineStr">
        <is>
          <t>海岛/徒步/高原路线容易多出装备费</t>
        </is>
      </c>
    </row>
    <row r="14" ht="58" customHeight="1">
      <c r="A14" s="2" t="inlineStr">
        <is>
          <t>预备金</t>
        </is>
      </c>
      <c r="B14" s="2" t="inlineStr">
        <is>
          <t>总预算 5%-10%，用于临时改线或补票</t>
        </is>
      </c>
      <c r="C14" s="4"/>
      <c r="D14" s="4"/>
      <c r="E14" s="4"/>
      <c r="F14" s="4">
        <f>IF(OR(C14="",D14="",E14=""),"",C14*D14*E14)</f>
      </c>
      <c r="G14" s="4"/>
      <c r="H14" s="4">
        <f>IF(OR(F14="",G14=""),"",G14-F14)</f>
      </c>
      <c r="I14" s="2" t="inlineStr">
        <is>
          <t>建议</t>
        </is>
      </c>
      <c r="J14" s="2" t="inlineStr">
        <is>
          <t>新手第一趟建议一定留</t>
        </is>
      </c>
    </row>
    <row r="15" ht="58" customHeight="1">
      <c r="A15" s="3" t="inlineStr">
        <is>
          <t>合计</t>
        </is>
      </c>
      <c r="B15" s="3" t="inlineStr">
        <is>
          <t>自动汇总；填入单价、数量、人数/车数后计算</t>
        </is>
      </c>
      <c r="C15" s="3"/>
      <c r="D15" s="3"/>
      <c r="E15" s="3"/>
      <c r="F15" s="3">
        <f>SUM(F2:F14)</f>
      </c>
      <c r="G15" s="3">
        <f>SUM(G2:G14)</f>
      </c>
      <c r="H15" s="3">
        <f>G15-F15</f>
      </c>
      <c r="I15" s="3"/>
      <c r="J15" s="3" t="inlineStr">
        <is>
          <t>人均费用 = 合计金额 ÷ 出行人数；可在旁边自行添加人数格</t>
        </is>
      </c>
    </row>
  </sheetData>
  <autoFilter ref="A1:J1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pane ySplit="1" topLeftCell="A2" activePane="bottomLeft" state="frozen"/>
    </sheetView>
  </sheetViews>
  <cols>
    <col min="1" max="1" width="14" customWidth="1"/>
    <col min="2" max="2" width="22" customWidth="1"/>
    <col min="3" max="3" width="42" customWidth="1"/>
    <col min="4" max="4" width="24" customWidth="1"/>
    <col min="5" max="5" width="32" customWidth="1"/>
    <col min="6" max="6" width="10" customWidth="1"/>
    <col min="7" max="7" width="24" customWidth="1"/>
  </cols>
  <sheetData>
    <row r="1" ht="30" customHeight="1">
      <c r="A1" s="1" t="inlineStr">
        <is>
          <t>阶段</t>
        </is>
      </c>
      <c r="B1" s="1" t="inlineStr">
        <is>
          <t>检查项</t>
        </is>
      </c>
      <c r="C1" s="1" t="inlineStr">
        <is>
          <t>怎么验</t>
        </is>
      </c>
      <c r="D1" s="1" t="inlineStr">
        <is>
          <t>拍照/视频留证</t>
        </is>
      </c>
      <c r="E1" s="1" t="inlineStr">
        <is>
          <t>风险点</t>
        </is>
      </c>
      <c r="F1" s="1" t="inlineStr">
        <is>
          <t>完成</t>
        </is>
      </c>
      <c r="G1" s="1" t="inlineStr">
        <is>
          <t>备注</t>
        </is>
      </c>
    </row>
    <row r="2" ht="60" customHeight="1">
      <c r="A2" s="2" t="inlineStr">
        <is>
          <t>预订前</t>
        </is>
      </c>
      <c r="B2" s="2" t="inlineStr">
        <is>
          <t>核对取还车点</t>
        </is>
      </c>
      <c r="C2" s="2" t="inlineStr">
        <is>
          <t>确认机场/高铁站/门店位置、营业时间、是否接驳</t>
        </is>
      </c>
      <c r="D2" s="2" t="inlineStr">
        <is>
          <t>截屏订单和门店地址</t>
        </is>
      </c>
      <c r="E2" s="2" t="inlineStr">
        <is>
          <t>取车点偏远会影响第一天行程</t>
        </is>
      </c>
      <c r="F2" s="2"/>
      <c r="G2" s="2"/>
    </row>
    <row r="3" ht="60" customHeight="1">
      <c r="A3" s="2" t="inlineStr">
        <is>
          <t>预订前</t>
        </is>
      </c>
      <c r="B3" s="2" t="inlineStr">
        <is>
          <t>看清押金和违章押金</t>
        </is>
      </c>
      <c r="C3" s="2" t="inlineStr">
        <is>
          <t>区分车辆押金、违章押金、冻结/预授权</t>
        </is>
      </c>
      <c r="D3" s="2" t="inlineStr">
        <is>
          <t>保存平台规则页</t>
        </is>
      </c>
      <c r="E3" s="2" t="inlineStr">
        <is>
          <t>还车后资金解冻周期不同</t>
        </is>
      </c>
      <c r="F3" s="2"/>
      <c r="G3" s="2"/>
    </row>
    <row r="4" ht="60" customHeight="1">
      <c r="A4" s="2" t="inlineStr">
        <is>
          <t>预订前</t>
        </is>
      </c>
      <c r="B4" s="2" t="inlineStr">
        <is>
          <t>确认保险范围</t>
        </is>
      </c>
      <c r="C4" s="2" t="inlineStr">
        <is>
          <t>看是否含基础险、免赔额、玻璃/轮胎/底盘保障</t>
        </is>
      </c>
      <c r="D4" s="2" t="inlineStr">
        <is>
          <t>保存保险说明</t>
        </is>
      </c>
      <c r="E4" s="2" t="inlineStr">
        <is>
          <t>山路和长线别只买最低保障</t>
        </is>
      </c>
      <c r="F4" s="2"/>
      <c r="G4" s="2"/>
    </row>
    <row r="5" ht="60" customHeight="1">
      <c r="A5" s="2" t="inlineStr">
        <is>
          <t>柜台签约</t>
        </is>
      </c>
      <c r="B5" s="2" t="inlineStr">
        <is>
          <t>核对合同总价</t>
        </is>
      </c>
      <c r="C5" s="2" t="inlineStr">
        <is>
          <t>对比订单价、保险、服务费、异地还车费</t>
        </is>
      </c>
      <c r="D5" s="2" t="inlineStr">
        <is>
          <t>拍合同关键页</t>
        </is>
      </c>
      <c r="E5" s="2" t="inlineStr">
        <is>
          <t>现场加购项目容易漏看</t>
        </is>
      </c>
      <c r="F5" s="2"/>
      <c r="G5" s="2"/>
    </row>
    <row r="6" ht="60" customHeight="1">
      <c r="A6" s="2" t="inlineStr">
        <is>
          <t>柜台签约</t>
        </is>
      </c>
      <c r="B6" s="2" t="inlineStr">
        <is>
          <t>核对车型和车牌</t>
        </is>
      </c>
      <c r="C6" s="2" t="inlineStr">
        <is>
          <t>车型级别、燃油/新能源、车牌与合同一致</t>
        </is>
      </c>
      <c r="D6" s="2" t="inlineStr">
        <is>
          <t>拍车牌和行驶证</t>
        </is>
      </c>
      <c r="E6" s="2" t="inlineStr">
        <is>
          <t>拿错车会影响后续理赔</t>
        </is>
      </c>
      <c r="F6" s="2"/>
      <c r="G6" s="2"/>
    </row>
    <row r="7" ht="60" customHeight="1">
      <c r="A7" s="2" t="inlineStr">
        <is>
          <t>外观</t>
        </is>
      </c>
      <c r="B7" s="2" t="inlineStr">
        <is>
          <t>绕车一圈录视频</t>
        </is>
      </c>
      <c r="C7" s="2" t="inlineStr">
        <is>
          <t>从车头开始顺时针拍完整车身</t>
        </is>
      </c>
      <c r="D7" s="2" t="inlineStr">
        <is>
          <t>连续视频+重点照片</t>
        </is>
      </c>
      <c r="E7" s="2" t="inlineStr">
        <is>
          <t>旧划痕没记录可能被误算</t>
        </is>
      </c>
      <c r="F7" s="2"/>
      <c r="G7" s="2"/>
    </row>
    <row r="8" ht="60" customHeight="1">
      <c r="A8" s="2" t="inlineStr">
        <is>
          <t>外观</t>
        </is>
      </c>
      <c r="B8" s="2" t="inlineStr">
        <is>
          <t>重点拍四角和底边</t>
        </is>
      </c>
      <c r="C8" s="2" t="inlineStr">
        <is>
          <t>保险杠、车门下沿、轮眉、后视镜、门把手</t>
        </is>
      </c>
      <c r="D8" s="2" t="inlineStr">
        <is>
          <t>近景照片</t>
        </is>
      </c>
      <c r="E8" s="2" t="inlineStr">
        <is>
          <t>这些位置最容易有小剐蹭</t>
        </is>
      </c>
      <c r="F8" s="2"/>
      <c r="G8" s="2"/>
    </row>
    <row r="9" ht="60" customHeight="1">
      <c r="A9" s="2" t="inlineStr">
        <is>
          <t>轮胎玻璃</t>
        </is>
      </c>
      <c r="B9" s="2" t="inlineStr">
        <is>
          <t>检查轮胎胎面和鼓包</t>
        </is>
      </c>
      <c r="C9" s="2" t="inlineStr">
        <is>
          <t>看胎压、胎纹、侧壁鼓包、备胎/补胎工具</t>
        </is>
      </c>
      <c r="D9" s="2" t="inlineStr">
        <is>
          <t>拍四条轮胎</t>
        </is>
      </c>
      <c r="E9" s="2" t="inlineStr">
        <is>
          <t>爆胎和鼓包风险高</t>
        </is>
      </c>
      <c r="F9" s="2"/>
      <c r="G9" s="2"/>
    </row>
    <row r="10" ht="60" customHeight="1">
      <c r="A10" s="2" t="inlineStr">
        <is>
          <t>轮胎玻璃</t>
        </is>
      </c>
      <c r="B10" s="2" t="inlineStr">
        <is>
          <t>检查玻璃和灯罩</t>
        </is>
      </c>
      <c r="C10" s="2" t="inlineStr">
        <is>
          <t>前挡、天窗、后挡、车灯是否有裂纹石子坑</t>
        </is>
      </c>
      <c r="D10" s="2" t="inlineStr">
        <is>
          <t>近景照片</t>
        </is>
      </c>
      <c r="E10" s="2" t="inlineStr">
        <is>
          <t>小裂纹很容易还车争议</t>
        </is>
      </c>
      <c r="F10" s="2"/>
      <c r="G10" s="2"/>
    </row>
    <row r="11" ht="60" customHeight="1">
      <c r="A11" s="2" t="inlineStr">
        <is>
          <t>内饰功能</t>
        </is>
      </c>
      <c r="B11" s="2" t="inlineStr">
        <is>
          <t>检查座椅和内饰污损</t>
        </is>
      </c>
      <c r="C11" s="2" t="inlineStr">
        <is>
          <t>座椅、地毯、后备厢、儿童座椅是否完好</t>
        </is>
      </c>
      <c r="D11" s="2" t="inlineStr">
        <is>
          <t>拍内饰和后备厢</t>
        </is>
      </c>
      <c r="E11" s="2" t="inlineStr">
        <is>
          <t>污渍破损需提前备注</t>
        </is>
      </c>
      <c r="F11" s="2"/>
      <c r="G11" s="2"/>
    </row>
    <row r="12" ht="60" customHeight="1">
      <c r="A12" s="2" t="inlineStr">
        <is>
          <t>内饰功能</t>
        </is>
      </c>
      <c r="B12" s="2" t="inlineStr">
        <is>
          <t>测试灯光雨刷空调</t>
        </is>
      </c>
      <c r="C12" s="2" t="inlineStr">
        <is>
          <t>远近光、转向灯、刹车灯、雨刷、空调冷暖</t>
        </is>
      </c>
      <c r="D12" s="2" t="inlineStr">
        <is>
          <t>录短视频</t>
        </is>
      </c>
      <c r="E12" s="2" t="inlineStr">
        <is>
          <t>雨天和夜路前必须确认</t>
        </is>
      </c>
      <c r="F12" s="2"/>
      <c r="G12" s="2"/>
    </row>
    <row r="13" ht="60" customHeight="1">
      <c r="A13" s="2" t="inlineStr">
        <is>
          <t>内饰功能</t>
        </is>
      </c>
      <c r="B13" s="2" t="inlineStr">
        <is>
          <t>检查车机和充电口</t>
        </is>
      </c>
      <c r="C13" s="2" t="inlineStr">
        <is>
          <t>导航、蓝牙、USB/Type-C、手机支架位置</t>
        </is>
      </c>
      <c r="D13" s="2" t="inlineStr">
        <is>
          <t>拍仪表/车机</t>
        </is>
      </c>
      <c r="E13" s="2" t="inlineStr">
        <is>
          <t>长线导航和充电会高频使用</t>
        </is>
      </c>
      <c r="F13" s="2"/>
      <c r="G13" s="2"/>
    </row>
    <row r="14" ht="60" customHeight="1">
      <c r="A14" s="2" t="inlineStr">
        <is>
          <t>油电里程</t>
        </is>
      </c>
      <c r="B14" s="2" t="inlineStr">
        <is>
          <t>拍油量/电量/里程</t>
        </is>
      </c>
      <c r="C14" s="2" t="inlineStr">
        <is>
          <t>记录取车时油表或电量、总里程、续航</t>
        </is>
      </c>
      <c r="D14" s="2" t="inlineStr">
        <is>
          <t>拍仪表盘</t>
        </is>
      </c>
      <c r="E14" s="2" t="inlineStr">
        <is>
          <t>还车油电标准要一致</t>
        </is>
      </c>
      <c r="F14" s="2"/>
      <c r="G14" s="2"/>
    </row>
    <row r="15" ht="60" customHeight="1">
      <c r="A15" s="2" t="inlineStr">
        <is>
          <t>油电里程</t>
        </is>
      </c>
      <c r="B15" s="2" t="inlineStr">
        <is>
          <t>问清加油/充电规则</t>
        </is>
      </c>
      <c r="C15" s="2" t="inlineStr">
        <is>
          <t>满油满还、同电量归还、是否指定油品</t>
        </is>
      </c>
      <c r="D15" s="2" t="inlineStr">
        <is>
          <t>保存门店说明</t>
        </is>
      </c>
      <c r="E15" s="2" t="inlineStr">
        <is>
          <t>归还标准不清会产生补费</t>
        </is>
      </c>
      <c r="F15" s="2"/>
      <c r="G15" s="2"/>
    </row>
    <row r="16" ht="60" customHeight="1">
      <c r="A16" s="2" t="inlineStr">
        <is>
          <t>试驾</t>
        </is>
      </c>
      <c r="B16" s="2" t="inlineStr">
        <is>
          <t>低速试刹车和方向</t>
        </is>
      </c>
      <c r="C16" s="2" t="inlineStr">
        <is>
          <t>起步、刹车、方向盘、异响、倒车影像</t>
        </is>
      </c>
      <c r="D16" s="2" t="inlineStr">
        <is>
          <t>异常立即录视频</t>
        </is>
      </c>
      <c r="E16" s="2" t="inlineStr">
        <is>
          <t>开出门店后再说更被动</t>
        </is>
      </c>
      <c r="F16" s="2"/>
      <c r="G16" s="2"/>
    </row>
    <row r="17" ht="60" customHeight="1">
      <c r="A17" s="2" t="inlineStr">
        <is>
          <t>试驾</t>
        </is>
      </c>
      <c r="B17" s="2" t="inlineStr">
        <is>
          <t>确认导航和证件齐全</t>
        </is>
      </c>
      <c r="C17" s="2" t="inlineStr">
        <is>
          <t>行驶证、保险标、联系电话、救援电话</t>
        </is>
      </c>
      <c r="D17" s="2" t="inlineStr">
        <is>
          <t>拍证件存档</t>
        </is>
      </c>
      <c r="E17" s="2" t="inlineStr">
        <is>
          <t>路上遇检查或事故要用</t>
        </is>
      </c>
      <c r="F17" s="2"/>
      <c r="G17" s="2"/>
    </row>
    <row r="18" ht="60" customHeight="1">
      <c r="A18" s="2" t="inlineStr">
        <is>
          <t>还车留证</t>
        </is>
      </c>
      <c r="B18" s="2" t="inlineStr">
        <is>
          <t>按约定时间还车</t>
        </is>
      </c>
      <c r="C18" s="2" t="inlineStr">
        <is>
          <t>预留加油、洗车、排队验车时间</t>
        </is>
      </c>
      <c r="D18" s="2" t="inlineStr">
        <is>
          <t>拍到店时间</t>
        </is>
      </c>
      <c r="E18" s="2" t="inlineStr">
        <is>
          <t>超时可能按小时/半天计费</t>
        </is>
      </c>
      <c r="F18" s="2"/>
      <c r="G18" s="2"/>
    </row>
    <row r="19" ht="60" customHeight="1">
      <c r="A19" s="2" t="inlineStr">
        <is>
          <t>还车留证</t>
        </is>
      </c>
      <c r="B19" s="2" t="inlineStr">
        <is>
          <t>还车再拍一圈视频</t>
        </is>
      </c>
      <c r="C19" s="2" t="inlineStr">
        <is>
          <t>同取车角度拍车身、轮胎、玻璃、仪表</t>
        </is>
      </c>
      <c r="D19" s="2" t="inlineStr">
        <is>
          <t>连续视频+仪表照片</t>
        </is>
      </c>
      <c r="E19" s="2" t="inlineStr">
        <is>
          <t>避免离店后产生争议</t>
        </is>
      </c>
      <c r="F19" s="2"/>
      <c r="G19" s="2"/>
    </row>
    <row r="20" ht="60" customHeight="1">
      <c r="A20" s="2" t="inlineStr">
        <is>
          <t>还车留证</t>
        </is>
      </c>
      <c r="B20" s="2" t="inlineStr">
        <is>
          <t>拿到结算凭证</t>
        </is>
      </c>
      <c r="C20" s="2" t="inlineStr">
        <is>
          <t>确认无新增损伤、费用明细、押金退还规则</t>
        </is>
      </c>
      <c r="D20" s="2" t="inlineStr">
        <is>
          <t>保存结算单</t>
        </is>
      </c>
      <c r="E20" s="2" t="inlineStr">
        <is>
          <t>离店前把疑问问清</t>
        </is>
      </c>
      <c r="F20" s="2"/>
      <c r="G20" s="2"/>
    </row>
  </sheetData>
  <autoFilter ref="A1:G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目的地选车参考表</vt:lpstr>
      <vt:lpstr>自驾旅行预算表</vt:lpstr>
      <vt:lpstr>租车取车验车清单</vt:lpstr>
    </vt:vector>
  </TitlesOfParts>
  <Company/>
  <LinksUpToDate>false</LinksUpToDate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小红书自驾工具包</dc:title>
  <dc:creator>Codex</dc:creator>
  <cp:lastModifiedBy>Codex</cp:lastModifiedBy>
  <dcterms:created xsi:type="dcterms:W3CDTF">2026-05-12T00:00:00Z</dcterms:created>
  <dcterms:modified xsi:type="dcterms:W3CDTF">2026-05-12T00:00:00Z</dcterms:modified>
</cp:coreProperties>
</file>