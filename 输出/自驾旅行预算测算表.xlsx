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使用说明" sheetId="1" r:id="rId1"/>
    <sheet name="预算填写表" sheetId="2" r:id="rId2"/>
    <sheet name="总预算汇总" sheetId="3" r:id="rId3"/>
    <sheet name="智能预算判断" sheetId="4" r:id="rId4"/>
    <sheet name="示例预算" sheetId="5" r:id="rId5"/>
    <sheet name="PDF导出建议版式" sheetId="6" r:id="rId6"/>
  </sheets>
  <calcPr calcId="0" fullCalcOnLoad="1" forceFullCalc="1"/>
</workbook>
</file>

<file path=xl/sharedStrings.xml><?xml version="1.0" encoding="utf-8"?>
<sst xmlns="http://schemas.openxmlformats.org/spreadsheetml/2006/main" count="195" uniqueCount="195">
  <si>
    <t>《自驾旅行预算测算表》</t>
  </si>
  <si>
    <t>填写目的地、天数、人数、里程、车型、住宿、餐饮、门票等信息后，可自动估算旅行总预算、人均预算、日均预算、车辆成本占比和出行前建议准备资金。</t>
  </si>
  <si>
    <t>使用步骤</t>
  </si>
  <si>
    <t>1</t>
  </si>
  <si>
    <t>先填写基础信息。</t>
  </si>
  <si>
    <t>2</t>
  </si>
  <si>
    <t>再填写车辆与交通费用。</t>
  </si>
  <si>
    <t>3</t>
  </si>
  <si>
    <t>继续填写住宿、餐饮、景区游玩和其他费用。</t>
  </si>
  <si>
    <t>4</t>
  </si>
  <si>
    <t>查看总预算汇总和智能提示。</t>
  </si>
  <si>
    <t>5</t>
  </si>
  <si>
    <t>根据预算结果调整车型、住宿、路线或游玩项目。</t>
  </si>
  <si>
    <t>说明</t>
  </si>
  <si>
    <t>押金不计入实际花费，但会计入“出行前建议准备资金”。</t>
  </si>
  <si>
    <t>免责声明</t>
  </si>
  <si>
    <t>预算仅供参考，实际费用以租车平台、酒店、景区、油价、电价和当地情况为准。</t>
  </si>
  <si>
    <t>更多租车自驾攻略：小红书 @你的账号名</t>
  </si>
  <si>
    <t>区域 A：基础信息</t>
  </si>
  <si>
    <t>目的地</t>
  </si>
  <si>
    <t>例：新疆伊犁 / 青岛 / 川西</t>
  </si>
  <si>
    <t>出发城市</t>
  </si>
  <si>
    <t>例：重庆 / 成都 / 上海</t>
  </si>
  <si>
    <t>出行天数</t>
  </si>
  <si>
    <t>填写数字</t>
  </si>
  <si>
    <t>出行人数</t>
  </si>
  <si>
    <t>租车天数</t>
  </si>
  <si>
    <t>预计总里程/km</t>
  </si>
  <si>
    <t>填写预计自驾总里程</t>
  </si>
  <si>
    <t>能源类型</t>
  </si>
  <si>
    <t>油车</t>
  </si>
  <si>
    <t>下拉选择：油车 / 新能源 / 混动</t>
  </si>
  <si>
    <t>百公里油耗/L</t>
  </si>
  <si>
    <t>油车/混动填写</t>
  </si>
  <si>
    <t>百公里电耗/kWh</t>
  </si>
  <si>
    <t>新能源填写</t>
  </si>
  <si>
    <t>油价/元每升</t>
  </si>
  <si>
    <t>当地预计油价</t>
  </si>
  <si>
    <t>电价/元每度</t>
  </si>
  <si>
    <t>快充/慢充可取平均值</t>
  </si>
  <si>
    <t>出行预算风格</t>
  </si>
  <si>
    <t>适中</t>
  </si>
  <si>
    <t>下拉选择：省钱 / 适中 / 舒适</t>
  </si>
  <si>
    <t>区域 B：车辆与交通费用</t>
  </si>
  <si>
    <t>费用项目</t>
  </si>
  <si>
    <t>单价</t>
  </si>
  <si>
    <t>数量</t>
  </si>
  <si>
    <t>小计</t>
  </si>
  <si>
    <t>备注</t>
  </si>
  <si>
    <t>租车日租金</t>
  </si>
  <si>
    <t>单价 × 租车天数</t>
  </si>
  <si>
    <t>基础服务费</t>
  </si>
  <si>
    <t>可按天填写，如平台另收服务费</t>
  </si>
  <si>
    <t>基础保险</t>
  </si>
  <si>
    <t>补充保险</t>
  </si>
  <si>
    <t>异地还车费</t>
  </si>
  <si>
    <t>如无异地还车填 0</t>
  </si>
  <si>
    <t>油费/电费</t>
  </si>
  <si>
    <t>根据能源类型自动估算</t>
  </si>
  <si>
    <t>高速费/过路费</t>
  </si>
  <si>
    <t>可填预计总额</t>
  </si>
  <si>
    <t>停车费</t>
  </si>
  <si>
    <t>可按每天全车费用</t>
  </si>
  <si>
    <t>洗车费</t>
  </si>
  <si>
    <t>还车前如需洗车</t>
  </si>
  <si>
    <t>车辆押金</t>
  </si>
  <si>
    <t>不计入旅行总预算，计入临时占用资金</t>
  </si>
  <si>
    <t>违章押金</t>
  </si>
  <si>
    <t>区域 C：住宿餐饮费用</t>
  </si>
  <si>
    <t>酒店/民宿每晚总价</t>
  </si>
  <si>
    <t>住宿费用 = 每晚总价 ×（出行天数 - 1）</t>
  </si>
  <si>
    <t>早餐</t>
  </si>
  <si>
    <t>人均单价 × 人数 × 天数</t>
  </si>
  <si>
    <t>午餐</t>
  </si>
  <si>
    <t>晚餐</t>
  </si>
  <si>
    <t>零食饮料</t>
  </si>
  <si>
    <t>按每日全车费用计算</t>
  </si>
  <si>
    <t>咖啡奶茶</t>
  </si>
  <si>
    <t>可按人均每天估算</t>
  </si>
  <si>
    <t>特色餐/大餐</t>
  </si>
  <si>
    <t>单次全车费用 × 次数</t>
  </si>
  <si>
    <t>区域 D：景区游玩费用</t>
  </si>
  <si>
    <t>景区门票</t>
  </si>
  <si>
    <t>人均门票 × 人数</t>
  </si>
  <si>
    <t>景区区间车</t>
  </si>
  <si>
    <t>人均区间车 × 人数</t>
  </si>
  <si>
    <t>景区停车费</t>
  </si>
  <si>
    <t>单次/单景区停车费 × 次数</t>
  </si>
  <si>
    <t>索道/缆车</t>
  </si>
  <si>
    <t>人均费用 × 人数</t>
  </si>
  <si>
    <t>旅拍/写真</t>
  </si>
  <si>
    <t>按总价或套餐数填写</t>
  </si>
  <si>
    <t>骑马/娱乐项目</t>
  </si>
  <si>
    <t>人均/单次费用 × 人数或次数</t>
  </si>
  <si>
    <t>导游/讲解</t>
  </si>
  <si>
    <t>按团队总价填写</t>
  </si>
  <si>
    <t>装备租赁</t>
  </si>
  <si>
    <t>可按人次或天数填写</t>
  </si>
  <si>
    <t>区域 E：其他费用</t>
  </si>
  <si>
    <t>往返机票/高铁</t>
  </si>
  <si>
    <t>人均单价 × 出行人数</t>
  </si>
  <si>
    <t>市内打车/公交</t>
  </si>
  <si>
    <t>出发地/目的地市内交通</t>
  </si>
  <si>
    <t>购物/伴手礼</t>
  </si>
  <si>
    <t>按总预算填写</t>
  </si>
  <si>
    <t>药品/防晒/装备</t>
  </si>
  <si>
    <t>高原/海边/亲子建议预留</t>
  </si>
  <si>
    <t>电话流量/充电宝</t>
  </si>
  <si>
    <t>可按总价填写</t>
  </si>
  <si>
    <t>其他备注费用</t>
  </si>
  <si>
    <t>临时想到的费用放这里</t>
  </si>
  <si>
    <t>应急预算</t>
  </si>
  <si>
    <t>10%</t>
  </si>
  <si>
    <t>除押金外基础总预算 × 10%</t>
  </si>
  <si>
    <t>总预算汇总</t>
  </si>
  <si>
    <t>汇总项</t>
  </si>
  <si>
    <t>金额</t>
  </si>
  <si>
    <t>车辆与交通实际费用</t>
  </si>
  <si>
    <t>不包含车辆押金和违章押金</t>
  </si>
  <si>
    <t>住宿费用</t>
  </si>
  <si>
    <t>酒店/民宿每晚总价 × 晚数</t>
  </si>
  <si>
    <t>餐饮费用</t>
  </si>
  <si>
    <t>早餐、午餐、晚餐、零食、咖啡、特色餐</t>
  </si>
  <si>
    <t>景区游玩费用</t>
  </si>
  <si>
    <t>门票、区间车、索道、娱乐项目等</t>
  </si>
  <si>
    <t>大交通费用</t>
  </si>
  <si>
    <t>其他费用</t>
  </si>
  <si>
    <t>市内交通、购物、装备、流量等</t>
  </si>
  <si>
    <t>旅行总预算</t>
  </si>
  <si>
    <t>所有实际花费合计，不含押金</t>
  </si>
  <si>
    <t>人均预算</t>
  </si>
  <si>
    <t>旅行总预算 / 出行人数</t>
  </si>
  <si>
    <t>日均预算</t>
  </si>
  <si>
    <t>旅行总预算 / 出行天数</t>
  </si>
  <si>
    <t>人均日预算</t>
  </si>
  <si>
    <t>旅行总预算 / 人数 / 天数</t>
  </si>
  <si>
    <t>临时占用资金</t>
  </si>
  <si>
    <t>车辆押金 + 违章押金</t>
  </si>
  <si>
    <t>出行前建议准备资金</t>
  </si>
  <si>
    <t>旅行总预算 + 临时占用资金</t>
  </si>
  <si>
    <t>智能预算判断</t>
  </si>
  <si>
    <t>判断项</t>
  </si>
  <si>
    <t>结果</t>
  </si>
  <si>
    <t>人均预算等级</t>
  </si>
  <si>
    <t>按人均预算自动分层</t>
  </si>
  <si>
    <t>车辆成本占比</t>
  </si>
  <si>
    <t>车辆与交通实际费用 / 旅行总预算</t>
  </si>
  <si>
    <t>车辆成本判断</t>
  </si>
  <si>
    <t>超过 45% 时建议重点优化车辆成本</t>
  </si>
  <si>
    <t>预算优化建议：车辆</t>
  </si>
  <si>
    <t>车辆成本偏高时自动提示</t>
  </si>
  <si>
    <t>预算优化建议：住宿</t>
  </si>
  <si>
    <t>住宿占比高时自动提示</t>
  </si>
  <si>
    <t>预算优化建议：景区</t>
  </si>
  <si>
    <t>景区费用较高时自动提示</t>
  </si>
  <si>
    <t>新能源长里程提醒</t>
  </si>
  <si>
    <t>新能源且总里程较高时自动提示</t>
  </si>
  <si>
    <t>适合的出行风格</t>
  </si>
  <si>
    <t>结合人均预算给出路线风格参考</t>
  </si>
  <si>
    <t>《自驾旅行预算测算表》示例预算：新疆伊犁 6 天 2 人</t>
  </si>
  <si>
    <t>基础信息</t>
  </si>
  <si>
    <t>新疆伊犁</t>
  </si>
  <si>
    <t>重庆</t>
  </si>
  <si>
    <t>租车日租金 × 租车天数</t>
  </si>
  <si>
    <t>50 元/天</t>
  </si>
  <si>
    <t>80 元/天</t>
  </si>
  <si>
    <t>油费</t>
  </si>
  <si>
    <t>1600/100 × 9L × 8元</t>
  </si>
  <si>
    <t>预计总额</t>
  </si>
  <si>
    <t>20 元/天</t>
  </si>
  <si>
    <t>酒店每晚总价</t>
  </si>
  <si>
    <t>6 天行程住 5 晚</t>
  </si>
  <si>
    <t>20 元/人/天 × 2 人 × 6 天</t>
  </si>
  <si>
    <t>40 元/人/天 × 2 人 × 6 天</t>
  </si>
  <si>
    <t>70 元/人/天 × 2 人 × 6 天</t>
  </si>
  <si>
    <t>景区门票和区间车合计</t>
  </si>
  <si>
    <t>600 元/人</t>
  </si>
  <si>
    <t>往返机票</t>
  </si>
  <si>
    <t>1800 元/人</t>
  </si>
  <si>
    <t>自动计算</t>
  </si>
  <si>
    <t>示例旅行总预算</t>
  </si>
  <si>
    <t>不含租车押金/违章押金</t>
  </si>
  <si>
    <t>示例人均预算</t>
  </si>
  <si>
    <t>总预算 / 2 人</t>
  </si>
  <si>
    <t>PDF 导出建议版式</t>
  </si>
  <si>
    <t>推荐导出范围</t>
  </si>
  <si>
    <t>使用说明 + 总预算汇总 + 智能预算判断 + 示例预算，可做领取前预览；完整版包含预算填写表。</t>
  </si>
  <si>
    <t>页面设置</t>
  </si>
  <si>
    <t>A4 竖向；页边距选“窄”；缩放选“将所有列调整为一页”；预算填写表允许多页。</t>
  </si>
  <si>
    <t>预览顺序</t>
  </si>
  <si>
    <t>第 1 页放使用说明，第 2 页放总预算汇总，第 3 页放智能预算判断，第 4 页放示例预算。</t>
  </si>
  <si>
    <t>小红书截图</t>
  </si>
  <si>
    <t>建议截“旅行总预算 / 人均预算 / 出行前建议准备资金”和“预算优化建议”两块。</t>
  </si>
  <si>
    <t>品牌露出</t>
  </si>
  <si>
    <t>导出前把底部“小红书 @你的账号名”替换为你的真实账号。</t>
  </si>
</sst>
</file>

<file path=xl/styles.xml><?xml version="1.0" encoding="utf-8"?>
<styleSheet xmlns="http://schemas.openxmlformats.org/spreadsheetml/2006/main">
  <numFmts count="3">
    <numFmt numFmtId="164" formatCode="0.00%"/>
    <numFmt numFmtId="165" formatCode="¥#,##0"/>
    <numFmt numFmtId="166" formatCode="#,##0.00"/>
  </numFmts>
  <fonts count="8">
    <font>
      <sz val="11"/>
      <color rgb="FF263238"/>
      <name val="Microsoft YaHei"/>
    </font>
    <font>
      <b/>
      <sz val="16"/>
      <color rgb="FF1B6F6A"/>
      <name val="Microsoft YaHei"/>
    </font>
    <font>
      <b/>
      <sz val="11"/>
      <color rgb="FFFFFFFF"/>
      <name val="Microsoft YaHei"/>
    </font>
    <font>
      <b/>
      <sz val="11"/>
      <color rgb="FF1B6F6A"/>
      <name val="Microsoft YaHei"/>
    </font>
    <font>
      <b/>
      <sz val="11"/>
      <color rgb="FFB42318"/>
      <name val="Microsoft YaHei"/>
    </font>
    <font>
      <b/>
      <sz val="11"/>
      <color rgb="FFE25273"/>
      <name val="Microsoft YaHei"/>
    </font>
    <font>
      <b/>
      <sz val="11"/>
      <color rgb="FF263238"/>
      <name val="Microsoft YaHei"/>
    </font>
    <font>
      <b/>
      <sz val="11"/>
      <color rgb="FF146C94"/>
      <name val="Microsoft YaHei"/>
    </font>
  </fonts>
  <fills count="10">
    <fill>
      <patternFill patternType="none"/>
    </fill>
    <fill>
      <patternFill patternType="gray125"/>
    </fill>
    <fill>
      <patternFill patternType="solid">
        <fgColor rgb="FF2C9A92"/>
        <bgColor indexed="64"/>
      </patternFill>
    </fill>
    <fill>
      <patternFill patternType="solid">
        <fgColor rgb="FFFFF3C4"/>
        <bgColor indexed="64"/>
      </patternFill>
    </fill>
    <fill>
      <patternFill patternType="solid">
        <fgColor rgb="FFDDF2FF"/>
        <bgColor indexed="64"/>
      </patternFill>
    </fill>
    <fill>
      <patternFill patternType="solid">
        <fgColor rgb="FFFFE2E2"/>
        <bgColor indexed="64"/>
      </patternFill>
    </fill>
    <fill>
      <patternFill patternType="solid">
        <fgColor rgb="FFE8F7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0F4"/>
        <bgColor indexed="64"/>
      </patternFill>
    </fill>
    <fill>
      <patternFill patternType="solid">
        <fgColor rgb="FFF5F7F8"/>
        <bgColor indexed="64"/>
      </patternFill>
    </fill>
  </fills>
  <borders count="2">
    <border>
      <left/>
      <right/>
      <top/>
      <bottom/>
      <diagonal/>
    </border>
    <border>
      <left style="thin">
        <color rgb="FFD8E4E2"/>
      </left>
      <right style="thin">
        <color rgb="FFD8E4E2"/>
      </right>
      <top style="thin">
        <color rgb="FFD8E4E2"/>
      </top>
      <bottom style="thin">
        <color rgb="FFD8E4E2"/>
      </bottom>
      <diagonal/>
    </border>
  </borders>
  <cellStyleXfs count="1">
    <xf numFmtId="0" fontId="0" fillId="0" borderId="0"/>
  </cellStyleXfs>
  <cellXfs count="19">
    <xf numFmtId="0" fontId="0" fillId="0" borderId="0" xfId="0">
      <alignment vertical="top" wrapText="1"/>
    </xf>
    <xf numFmtId="0" fontId="1" fillId="7" borderId="0" xfId="0" applyFont="1">
      <alignment horizontal="center" vertical="center" wrapText="1"/>
    </xf>
    <xf numFmtId="0" fontId="0" fillId="6" borderId="1" xfId="0" applyFill="1" applyBorder="1">
      <alignment vertical="center" wrapText="1"/>
    </xf>
    <xf numFmtId="0" fontId="3" fillId="6" borderId="1" xfId="0" applyFill="1" applyFont="1" applyBorder="1">
      <alignment vertical="center" wrapText="1"/>
    </xf>
    <xf numFmtId="0" fontId="2" fillId="2" borderId="1" xfId="0" applyFill="1" applyFont="1" applyBorder="1">
      <alignment horizontal="center" vertical="center" wrapText="1"/>
    </xf>
    <xf numFmtId="0" fontId="0" fillId="3" borderId="1" xfId="0" applyFill="1" applyBorder="1">
      <alignment vertical="center" wrapText="1"/>
    </xf>
    <xf numFmtId="0" fontId="0" fillId="4" borderId="1" xfId="0" applyFill="1" applyBorder="1">
      <alignment vertical="center" wrapText="1"/>
    </xf>
    <xf numFmtId="0" fontId="0" fillId="7" borderId="1" xfId="0" applyFill="1" applyBorder="1">
      <alignment vertical="top" wrapText="1"/>
    </xf>
    <xf numFmtId="0" fontId="4" fillId="5" borderId="1" xfId="0" applyFill="1" applyFont="1" applyBorder="1">
      <alignment vertical="center" wrapText="1"/>
    </xf>
    <xf numFmtId="0" fontId="5" fillId="8" borderId="1" xfId="0" applyFill="1" applyFont="1" applyBorder="1">
      <alignment horizontal="center" vertical="center" wrapText="1"/>
    </xf>
    <xf numFmtId="0" fontId="6" fillId="7" borderId="1" xfId="0" applyFill="1" applyFont="1" applyBorder="1">
      <alignment vertical="center" wrapText="1"/>
    </xf>
    <xf numFmtId="164" fontId="7" fillId="4" borderId="1" xfId="0" applyNumberFormat="1" applyFill="1" applyFont="1" applyBorder="1">
      <alignment vertical="center" wrapText="1"/>
    </xf>
    <xf numFmtId="165" fontId="0" fillId="3" borderId="1" xfId="0" applyNumberFormat="1" applyFill="1" applyBorder="1">
      <alignment vertical="center" wrapText="1"/>
    </xf>
    <xf numFmtId="165" fontId="0" fillId="4" borderId="1" xfId="0" applyNumberFormat="1" applyFill="1" applyBorder="1">
      <alignment vertical="center" wrapText="1"/>
    </xf>
    <xf numFmtId="165" fontId="6" fillId="4" borderId="1" xfId="0" applyNumberFormat="1" applyFill="1" applyFont="1" applyBorder="1">
      <alignment vertical="center" wrapText="1"/>
    </xf>
    <xf numFmtId="0" fontId="0" fillId="3" borderId="1" xfId="0" applyFill="1" applyBorder="1">
      <alignment horizontal="center" vertical="center" wrapText="1"/>
    </xf>
    <xf numFmtId="0" fontId="0" fillId="4" borderId="1" xfId="0" applyFill="1" applyBorder="1">
      <alignment horizontal="center" vertical="center" wrapText="1"/>
    </xf>
    <xf numFmtId="0" fontId="4" fillId="5" borderId="1" xfId="0" applyFill="1" applyFont="1" applyBorder="1">
      <alignment horizontal="center" vertical="center" wrapText="1"/>
    </xf>
    <xf numFmtId="0" fontId="0" fillId="9" borderId="1" xfId="0" applyFill="1" applyBorder="1">
      <alignment vertical="center" wrapText="1"/>
    </xf>
  </cellXfs>
  <cellStyles count="1">
    <cellStyle name="Normal" xfId="0" builtinId="0"/>
  </cellStyles>
  <dxfs count="2">
    <dxf>
      <font>
        <color rgb="FFB42318"/>
      </font>
      <fill>
        <patternFill patternType="solid">
          <fgColor rgb="FFFFE2E2"/>
          <bgColor indexed="64"/>
        </patternFill>
      </fill>
    </dxf>
    <dxf>
      <font>
        <b/>
        <color rgb="FFB42318"/>
      </font>
      <fill>
        <patternFill patternType="solid">
          <fgColor rgb="FFFFE2E2"/>
          <bgColor indexed="64"/>
        </patternFill>
      </fill>
    </dxf>
  </dxfs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styles" Target="styles.xml"/>
  <Relationship Id="rId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11"/>
  <sheetViews>
    <sheetView workbookViewId="0">
      <pane ySplit="1" topLeftCell="A2" activePane="bottomLeft" state="frozen"/>
      <selection pane="bottomLeft" activeCell="A2" sqref="A2"/>
    </sheetView>
  </sheetViews>
  <sheetFormatPr defaultRowHeight="34"/>
  <cols>
    <col min="1" max="1" width="10" customWidth="1"/>
    <col min="2" max="2" width="54" customWidth="1"/>
    <col min="3" max="3" width="14" customWidth="1"/>
    <col min="4" max="4" width="14" customWidth="1"/>
    <col min="5" max="5" width="14" customWidth="1"/>
  </cols>
  <sheetData>
    <row r="1" ht="34" customHeight="1">
      <c r="A1" s="1" t="s">
        <v>0</v>
      </c>
      <c r="B1" s="1"/>
      <c r="C1" s="1"/>
      <c r="D1" s="1"/>
      <c r="E1" s="1"/>
    </row>
    <row r="2" ht="34" customHeight="1">
      <c r="A2" s="2" t="s">
        <v>1</v>
      </c>
      <c r="B2" s="2"/>
      <c r="C2" s="2"/>
      <c r="D2" s="2"/>
      <c r="E2" s="2"/>
    </row>
    <row r="3" ht="34" customHeight="1">
      <c r="A3" s="3" t="s">
        <v>2</v>
      </c>
      <c r="B3" s="3"/>
      <c r="C3" s="3"/>
      <c r="D3" s="3"/>
      <c r="E3" s="3"/>
    </row>
    <row r="4" ht="34" customHeight="1">
      <c r="A4" s="16" t="s">
        <v>3</v>
      </c>
      <c r="B4" s="7" t="s">
        <v>4</v>
      </c>
      <c r="C4" s="7"/>
      <c r="D4" s="7"/>
      <c r="E4" s="7"/>
    </row>
    <row r="5" ht="34" customHeight="1">
      <c r="A5" s="16" t="s">
        <v>5</v>
      </c>
      <c r="B5" s="7" t="s">
        <v>6</v>
      </c>
      <c r="C5" s="7"/>
      <c r="D5" s="7"/>
      <c r="E5" s="7"/>
    </row>
    <row r="6" ht="34" customHeight="1">
      <c r="A6" s="16" t="s">
        <v>7</v>
      </c>
      <c r="B6" s="7" t="s">
        <v>8</v>
      </c>
      <c r="C6" s="7"/>
      <c r="D6" s="7"/>
      <c r="E6" s="7"/>
    </row>
    <row r="7" ht="34" customHeight="1">
      <c r="A7" s="16" t="s">
        <v>9</v>
      </c>
      <c r="B7" s="7" t="s">
        <v>10</v>
      </c>
      <c r="C7" s="7"/>
      <c r="D7" s="7"/>
      <c r="E7" s="7"/>
    </row>
    <row r="8" ht="34" customHeight="1">
      <c r="A8" s="16" t="s">
        <v>11</v>
      </c>
      <c r="B8" s="7" t="s">
        <v>12</v>
      </c>
      <c r="C8" s="7"/>
      <c r="D8" s="7"/>
      <c r="E8" s="7"/>
    </row>
    <row r="9" ht="34" customHeight="1">
      <c r="A9" s="3" t="s">
        <v>13</v>
      </c>
      <c r="B9" s="7" t="s">
        <v>14</v>
      </c>
      <c r="C9" s="7"/>
      <c r="D9" s="7"/>
      <c r="E9" s="7"/>
    </row>
    <row r="10" ht="34" customHeight="1">
      <c r="A10" s="3" t="s">
        <v>15</v>
      </c>
      <c r="B10" s="7" t="s">
        <v>16</v>
      </c>
      <c r="C10" s="7"/>
      <c r="D10" s="7"/>
      <c r="E10" s="7"/>
    </row>
    <row r="11" ht="34" customHeight="1">
      <c r="A11" s="9" t="s">
        <v>17</v>
      </c>
      <c r="B11" s="9"/>
      <c r="C11" s="9"/>
      <c r="D11" s="9"/>
      <c r="E11" s="9"/>
    </row>
  </sheetData>
  <mergeCells count="11">
    <mergeCell ref="A1:E1"/>
    <mergeCell ref="A2:E2"/>
    <mergeCell ref="A3:E3"/>
    <mergeCell ref="B4:E4"/>
    <mergeCell ref="B5:E5"/>
    <mergeCell ref="B6:E6"/>
    <mergeCell ref="B7:E7"/>
    <mergeCell ref="B8:E8"/>
    <mergeCell ref="B9:E9"/>
    <mergeCell ref="B10:E10"/>
    <mergeCell ref="A11:E11"/>
  </mergeCells>
  <printOptions horizontalCentered="1"/>
  <pageMargins left="0.35" right="0.35" top="0.55" bottom="0.55" header="0.2" footer="0.2"/>
  <pageSetup paperSize="9" orientation="portrait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57"/>
  <sheetViews>
    <sheetView workbookViewId="0">
      <pane ySplit="1" topLeftCell="A2" activePane="bottomLeft" state="frozen"/>
      <selection pane="bottomLeft" activeCell="A2" sqref="A2"/>
    </sheetView>
  </sheetViews>
  <sheetFormatPr defaultRowHeight="30"/>
  <cols>
    <col min="1" max="1" width="24" customWidth="1"/>
    <col min="2" max="2" width="16" customWidth="1"/>
    <col min="3" max="3" width="16" customWidth="1"/>
    <col min="4" max="4" width="18" customWidth="1"/>
    <col min="5" max="5" width="42" customWidth="1"/>
  </cols>
  <sheetData>
    <row r="1" ht="34" customHeight="1">
      <c r="A1" s="1" t="s">
        <v>0</v>
      </c>
      <c r="B1" s="1"/>
      <c r="C1" s="1"/>
      <c r="D1" s="1"/>
      <c r="E1" s="1"/>
    </row>
    <row r="2" ht="30" customHeight="1">
      <c r="A2" s="3" t="s">
        <v>18</v>
      </c>
      <c r="B2" s="3"/>
      <c r="C2" s="3"/>
      <c r="D2" s="3"/>
      <c r="E2" s="3"/>
    </row>
    <row r="3" ht="30" customHeight="1">
      <c r="A3" s="7" t="s">
        <v>19</v>
      </c>
      <c r="B3" s="5"/>
      <c r="C3" s="18" t="s">
        <v>20</v>
      </c>
      <c r="D3" s="7"/>
      <c r="E3" s="7"/>
    </row>
    <row r="4" ht="30" customHeight="1">
      <c r="A4" s="7" t="s">
        <v>21</v>
      </c>
      <c r="B4" s="5"/>
      <c r="C4" s="18" t="s">
        <v>22</v>
      </c>
      <c r="D4" s="7"/>
      <c r="E4" s="7"/>
    </row>
    <row r="5" ht="30" customHeight="1">
      <c r="A5" s="7" t="s">
        <v>23</v>
      </c>
      <c r="B5" s="5"/>
      <c r="C5" s="18" t="s">
        <v>24</v>
      </c>
      <c r="D5" s="7"/>
      <c r="E5" s="7"/>
    </row>
    <row r="6" ht="30" customHeight="1">
      <c r="A6" s="7" t="s">
        <v>25</v>
      </c>
      <c r="B6" s="5"/>
      <c r="C6" s="18" t="s">
        <v>24</v>
      </c>
      <c r="D6" s="7"/>
      <c r="E6" s="7"/>
    </row>
    <row r="7" ht="30" customHeight="1">
      <c r="A7" s="7" t="s">
        <v>26</v>
      </c>
      <c r="B7" s="5"/>
      <c r="C7" s="18" t="s">
        <v>24</v>
      </c>
      <c r="D7" s="7"/>
      <c r="E7" s="7"/>
    </row>
    <row r="8" ht="30" customHeight="1">
      <c r="A8" s="7" t="s">
        <v>27</v>
      </c>
      <c r="B8" s="5"/>
      <c r="C8" s="18" t="s">
        <v>28</v>
      </c>
      <c r="D8" s="7"/>
      <c r="E8" s="7"/>
    </row>
    <row r="9" ht="30" customHeight="1">
      <c r="A9" s="7" t="s">
        <v>29</v>
      </c>
      <c r="B9" s="5" t="s">
        <v>30</v>
      </c>
      <c r="C9" s="18" t="s">
        <v>31</v>
      </c>
      <c r="D9" s="7"/>
      <c r="E9" s="7"/>
    </row>
    <row r="10" ht="30" customHeight="1">
      <c r="A10" s="7" t="s">
        <v>32</v>
      </c>
      <c r="B10" s="5"/>
      <c r="C10" s="18" t="s">
        <v>33</v>
      </c>
      <c r="D10" s="7"/>
      <c r="E10" s="7"/>
    </row>
    <row r="11" ht="30" customHeight="1">
      <c r="A11" s="7" t="s">
        <v>34</v>
      </c>
      <c r="B11" s="5"/>
      <c r="C11" s="18" t="s">
        <v>35</v>
      </c>
      <c r="D11" s="7"/>
      <c r="E11" s="7"/>
    </row>
    <row r="12" ht="30" customHeight="1">
      <c r="A12" s="7" t="s">
        <v>36</v>
      </c>
      <c r="B12" s="5"/>
      <c r="C12" s="18" t="s">
        <v>37</v>
      </c>
      <c r="D12" s="7"/>
      <c r="E12" s="7"/>
    </row>
    <row r="13" ht="30" customHeight="1">
      <c r="A13" s="7" t="s">
        <v>38</v>
      </c>
      <c r="B13" s="5"/>
      <c r="C13" s="18" t="s">
        <v>39</v>
      </c>
      <c r="D13" s="7"/>
      <c r="E13" s="7"/>
    </row>
    <row r="14" ht="30" customHeight="1">
      <c r="A14" s="7" t="s">
        <v>40</v>
      </c>
      <c r="B14" s="5" t="s">
        <v>41</v>
      </c>
      <c r="C14" s="18" t="s">
        <v>42</v>
      </c>
      <c r="D14" s="7"/>
      <c r="E14" s="7"/>
    </row>
    <row r="15" ht="30" customHeight="1">
      <c r="A15" s="18"/>
      <c r="B15" s="18"/>
      <c r="C15" s="18"/>
      <c r="D15" s="18"/>
      <c r="E15" s="18"/>
    </row>
    <row r="16" ht="30" customHeight="1">
      <c r="A16" s="3" t="s">
        <v>43</v>
      </c>
      <c r="B16" s="3"/>
      <c r="C16" s="3"/>
      <c r="D16" s="3"/>
      <c r="E16" s="3"/>
    </row>
    <row r="17" ht="30" customHeight="1">
      <c r="A17" s="4" t="s">
        <v>44</v>
      </c>
      <c r="B17" s="4" t="s">
        <v>45</v>
      </c>
      <c r="C17" s="4" t="s">
        <v>46</v>
      </c>
      <c r="D17" s="4" t="s">
        <v>47</v>
      </c>
      <c r="E17" s="4" t="s">
        <v>48</v>
      </c>
    </row>
    <row r="18" ht="30" customHeight="1">
      <c r="A18" s="7" t="s">
        <v>49</v>
      </c>
      <c r="B18" s="12"/>
      <c r="C18" s="16">
        <f>$B$7</f>
      </c>
      <c r="D18" s="13">
        <f>IF(OR(B18="",C18=""),"",B18*C18)</f>
      </c>
      <c r="E18" s="18" t="s">
        <v>50</v>
      </c>
    </row>
    <row r="19" ht="30" customHeight="1">
      <c r="A19" s="7" t="s">
        <v>51</v>
      </c>
      <c r="B19" s="12"/>
      <c r="C19" s="16">
        <f>$B$7</f>
      </c>
      <c r="D19" s="13">
        <f>IF(OR(B19="",C19=""),"",B19*C19)</f>
      </c>
      <c r="E19" s="18" t="s">
        <v>52</v>
      </c>
    </row>
    <row r="20" ht="30" customHeight="1">
      <c r="A20" s="7" t="s">
        <v>53</v>
      </c>
      <c r="B20" s="12"/>
      <c r="C20" s="16">
        <f>$B$7</f>
      </c>
      <c r="D20" s="13">
        <f>IF(OR(B20="",C20=""),"",B20*C20)</f>
      </c>
      <c r="E20" s="18" t="s">
        <v>50</v>
      </c>
    </row>
    <row r="21" ht="30" customHeight="1">
      <c r="A21" s="7" t="s">
        <v>54</v>
      </c>
      <c r="B21" s="12"/>
      <c r="C21" s="16">
        <f>$B$7</f>
      </c>
      <c r="D21" s="13">
        <f>IF(OR(B21="",C21=""),"",B21*C21)</f>
      </c>
      <c r="E21" s="18" t="s">
        <v>50</v>
      </c>
    </row>
    <row r="22" ht="30" customHeight="1">
      <c r="A22" s="7" t="s">
        <v>55</v>
      </c>
      <c r="B22" s="12"/>
      <c r="C22" s="15">
        <v>1</v>
      </c>
      <c r="D22" s="13">
        <f>IF(OR(B22="",C22=""),"",B22*C22)</f>
      </c>
      <c r="E22" s="18" t="s">
        <v>56</v>
      </c>
    </row>
    <row r="23" ht="30" customHeight="1">
      <c r="A23" s="7" t="s">
        <v>57</v>
      </c>
      <c r="B23" s="13">
        <f>IF($B$9="新能源",$B$13,$B$12)</f>
      </c>
      <c r="C23" s="6">
        <f>IF($B$9="新能源",$B$8/100*$B$11,$B$8/100*$B$10)</f>
      </c>
      <c r="D23" s="13">
        <f>IF($B$9="新能源",$B$8/100*$B$11*$B$13,$B$8/100*$B$10*$B$12)</f>
      </c>
      <c r="E23" s="18" t="s">
        <v>58</v>
      </c>
    </row>
    <row r="24" ht="30" customHeight="1">
      <c r="A24" s="7" t="s">
        <v>59</v>
      </c>
      <c r="B24" s="12"/>
      <c r="C24" s="15">
        <v>1</v>
      </c>
      <c r="D24" s="13">
        <f>IF(OR(B24="",C24=""),"",B24*C24)</f>
      </c>
      <c r="E24" s="18" t="s">
        <v>60</v>
      </c>
    </row>
    <row r="25" ht="30" customHeight="1">
      <c r="A25" s="7" t="s">
        <v>61</v>
      </c>
      <c r="B25" s="12"/>
      <c r="C25" s="16">
        <f>$B$5</f>
      </c>
      <c r="D25" s="13">
        <f>IF(OR(B25="",C25=""),"",B25*C25)</f>
      </c>
      <c r="E25" s="18" t="s">
        <v>62</v>
      </c>
    </row>
    <row r="26" ht="30" customHeight="1">
      <c r="A26" s="7" t="s">
        <v>63</v>
      </c>
      <c r="B26" s="12"/>
      <c r="C26" s="15">
        <v>1</v>
      </c>
      <c r="D26" s="13">
        <f>IF(OR(B26="",C26=""),"",B26*C26)</f>
      </c>
      <c r="E26" s="18" t="s">
        <v>64</v>
      </c>
    </row>
    <row r="27" ht="30" customHeight="1">
      <c r="A27" s="7" t="s">
        <v>65</v>
      </c>
      <c r="B27" s="12"/>
      <c r="C27" s="15">
        <v>1</v>
      </c>
      <c r="D27" s="13">
        <f>IF(OR(B27="",C27=""),"",B27*C27)</f>
      </c>
      <c r="E27" s="18" t="s">
        <v>66</v>
      </c>
    </row>
    <row r="28" ht="30" customHeight="1">
      <c r="A28" s="7" t="s">
        <v>67</v>
      </c>
      <c r="B28" s="12"/>
      <c r="C28" s="15">
        <v>1</v>
      </c>
      <c r="D28" s="13">
        <f>IF(OR(B28="",C28=""),"",B28*C28)</f>
      </c>
      <c r="E28" s="18" t="s">
        <v>66</v>
      </c>
    </row>
    <row r="29" ht="30" customHeight="1">
      <c r="A29" s="3" t="s">
        <v>68</v>
      </c>
      <c r="B29" s="3"/>
      <c r="C29" s="3"/>
      <c r="D29" s="3"/>
      <c r="E29" s="3"/>
    </row>
    <row r="30" ht="30" customHeight="1">
      <c r="A30" s="4" t="s">
        <v>44</v>
      </c>
      <c r="B30" s="4" t="s">
        <v>45</v>
      </c>
      <c r="C30" s="4" t="s">
        <v>46</v>
      </c>
      <c r="D30" s="4" t="s">
        <v>47</v>
      </c>
      <c r="E30" s="4" t="s">
        <v>48</v>
      </c>
    </row>
    <row r="31" ht="30" customHeight="1">
      <c r="A31" s="7" t="s">
        <v>69</v>
      </c>
      <c r="B31" s="12"/>
      <c r="C31" s="16">
        <f>MAX($B$5-1,0)</f>
      </c>
      <c r="D31" s="13">
        <f>IF(OR(B31="",C31=""),"",B31*C31)</f>
      </c>
      <c r="E31" s="18" t="s">
        <v>70</v>
      </c>
    </row>
    <row r="32" ht="30" customHeight="1">
      <c r="A32" s="7" t="s">
        <v>71</v>
      </c>
      <c r="B32" s="12"/>
      <c r="C32" s="16">
        <f>$B$6*$B$5</f>
      </c>
      <c r="D32" s="13">
        <f>IF(OR(B32="",C32=""),"",B32*C32)</f>
      </c>
      <c r="E32" s="18" t="s">
        <v>72</v>
      </c>
    </row>
    <row r="33" ht="30" customHeight="1">
      <c r="A33" s="7" t="s">
        <v>73</v>
      </c>
      <c r="B33" s="12"/>
      <c r="C33" s="16">
        <f>$B$6*$B$5</f>
      </c>
      <c r="D33" s="13">
        <f>IF(OR(B33="",C33=""),"",B33*C33)</f>
      </c>
      <c r="E33" s="18" t="s">
        <v>72</v>
      </c>
    </row>
    <row r="34" ht="30" customHeight="1">
      <c r="A34" s="7" t="s">
        <v>74</v>
      </c>
      <c r="B34" s="12"/>
      <c r="C34" s="16">
        <f>$B$6*$B$5</f>
      </c>
      <c r="D34" s="13">
        <f>IF(OR(B34="",C34=""),"",B34*C34)</f>
      </c>
      <c r="E34" s="18" t="s">
        <v>72</v>
      </c>
    </row>
    <row r="35" ht="30" customHeight="1">
      <c r="A35" s="7" t="s">
        <v>75</v>
      </c>
      <c r="B35" s="12"/>
      <c r="C35" s="16">
        <f>$B$5</f>
      </c>
      <c r="D35" s="13">
        <f>IF(OR(B35="",C35=""),"",B35*C35)</f>
      </c>
      <c r="E35" s="18" t="s">
        <v>76</v>
      </c>
    </row>
    <row r="36" ht="30" customHeight="1">
      <c r="A36" s="7" t="s">
        <v>77</v>
      </c>
      <c r="B36" s="12"/>
      <c r="C36" s="16">
        <f>$B$6*$B$5</f>
      </c>
      <c r="D36" s="13">
        <f>IF(OR(B36="",C36=""),"",B36*C36)</f>
      </c>
      <c r="E36" s="18" t="s">
        <v>78</v>
      </c>
    </row>
    <row r="37" ht="30" customHeight="1">
      <c r="A37" s="7" t="s">
        <v>79</v>
      </c>
      <c r="B37" s="12"/>
      <c r="C37" s="15"/>
      <c r="D37" s="13">
        <f>IF(OR(B37="",C37=""),"",B37*C37)</f>
      </c>
      <c r="E37" s="18" t="s">
        <v>80</v>
      </c>
    </row>
    <row r="38" ht="30" customHeight="1">
      <c r="A38" s="3" t="s">
        <v>81</v>
      </c>
      <c r="B38" s="3"/>
      <c r="C38" s="3"/>
      <c r="D38" s="3"/>
      <c r="E38" s="3"/>
    </row>
    <row r="39" ht="30" customHeight="1">
      <c r="A39" s="4" t="s">
        <v>44</v>
      </c>
      <c r="B39" s="4" t="s">
        <v>45</v>
      </c>
      <c r="C39" s="4" t="s">
        <v>46</v>
      </c>
      <c r="D39" s="4" t="s">
        <v>47</v>
      </c>
      <c r="E39" s="4" t="s">
        <v>48</v>
      </c>
    </row>
    <row r="40" ht="30" customHeight="1">
      <c r="A40" s="7" t="s">
        <v>82</v>
      </c>
      <c r="B40" s="12"/>
      <c r="C40" s="16">
        <f>$B$6</f>
      </c>
      <c r="D40" s="13">
        <f>IF(OR(B40="",C40=""),"",B40*C40)</f>
      </c>
      <c r="E40" s="18" t="s">
        <v>83</v>
      </c>
    </row>
    <row r="41" ht="30" customHeight="1">
      <c r="A41" s="7" t="s">
        <v>84</v>
      </c>
      <c r="B41" s="12"/>
      <c r="C41" s="16">
        <f>$B$6</f>
      </c>
      <c r="D41" s="13">
        <f>IF(OR(B41="",C41=""),"",B41*C41)</f>
      </c>
      <c r="E41" s="18" t="s">
        <v>85</v>
      </c>
    </row>
    <row r="42" ht="30" customHeight="1">
      <c r="A42" s="7" t="s">
        <v>86</v>
      </c>
      <c r="B42" s="12"/>
      <c r="C42" s="15"/>
      <c r="D42" s="13">
        <f>IF(OR(B42="",C42=""),"",B42*C42)</f>
      </c>
      <c r="E42" s="18" t="s">
        <v>87</v>
      </c>
    </row>
    <row r="43" ht="30" customHeight="1">
      <c r="A43" s="7" t="s">
        <v>88</v>
      </c>
      <c r="B43" s="12"/>
      <c r="C43" s="16">
        <f>$B$6</f>
      </c>
      <c r="D43" s="13">
        <f>IF(OR(B43="",C43=""),"",B43*C43)</f>
      </c>
      <c r="E43" s="18" t="s">
        <v>89</v>
      </c>
    </row>
    <row r="44" ht="30" customHeight="1">
      <c r="A44" s="7" t="s">
        <v>90</v>
      </c>
      <c r="B44" s="12"/>
      <c r="C44" s="15">
        <v>1</v>
      </c>
      <c r="D44" s="13">
        <f>IF(OR(B44="",C44=""),"",B44*C44)</f>
      </c>
      <c r="E44" s="18" t="s">
        <v>91</v>
      </c>
    </row>
    <row r="45" ht="30" customHeight="1">
      <c r="A45" s="7" t="s">
        <v>92</v>
      </c>
      <c r="B45" s="12"/>
      <c r="C45" s="15"/>
      <c r="D45" s="13">
        <f>IF(OR(B45="",C45=""),"",B45*C45)</f>
      </c>
      <c r="E45" s="18" t="s">
        <v>93</v>
      </c>
    </row>
    <row r="46" ht="30" customHeight="1">
      <c r="A46" s="7" t="s">
        <v>94</v>
      </c>
      <c r="B46" s="12"/>
      <c r="C46" s="15">
        <v>1</v>
      </c>
      <c r="D46" s="13">
        <f>IF(OR(B46="",C46=""),"",B46*C46)</f>
      </c>
      <c r="E46" s="18" t="s">
        <v>95</v>
      </c>
    </row>
    <row r="47" ht="30" customHeight="1">
      <c r="A47" s="7" t="s">
        <v>96</v>
      </c>
      <c r="B47" s="12"/>
      <c r="C47" s="15"/>
      <c r="D47" s="13">
        <f>IF(OR(B47="",C47=""),"",B47*C47)</f>
      </c>
      <c r="E47" s="18" t="s">
        <v>97</v>
      </c>
    </row>
    <row r="48" ht="30" customHeight="1">
      <c r="A48" s="3" t="s">
        <v>98</v>
      </c>
      <c r="B48" s="3"/>
      <c r="C48" s="3"/>
      <c r="D48" s="3"/>
      <c r="E48" s="3"/>
    </row>
    <row r="49" ht="30" customHeight="1">
      <c r="A49" s="4" t="s">
        <v>44</v>
      </c>
      <c r="B49" s="4" t="s">
        <v>45</v>
      </c>
      <c r="C49" s="4" t="s">
        <v>46</v>
      </c>
      <c r="D49" s="4" t="s">
        <v>47</v>
      </c>
      <c r="E49" s="4" t="s">
        <v>48</v>
      </c>
    </row>
    <row r="50" ht="30" customHeight="1">
      <c r="A50" s="7" t="s">
        <v>99</v>
      </c>
      <c r="B50" s="12"/>
      <c r="C50" s="16">
        <f>$B$6</f>
      </c>
      <c r="D50" s="13">
        <f>IF(OR(B50="",C50=""),"",B50*C50)</f>
      </c>
      <c r="E50" s="18" t="s">
        <v>100</v>
      </c>
    </row>
    <row r="51" ht="30" customHeight="1">
      <c r="A51" s="7" t="s">
        <v>101</v>
      </c>
      <c r="B51" s="12"/>
      <c r="C51" s="15">
        <v>1</v>
      </c>
      <c r="D51" s="13">
        <f>IF(OR(B51="",C51=""),"",B51*C51)</f>
      </c>
      <c r="E51" s="18" t="s">
        <v>102</v>
      </c>
    </row>
    <row r="52" ht="30" customHeight="1">
      <c r="A52" s="7" t="s">
        <v>103</v>
      </c>
      <c r="B52" s="12"/>
      <c r="C52" s="15">
        <v>1</v>
      </c>
      <c r="D52" s="13">
        <f>IF(OR(B52="",C52=""),"",B52*C52)</f>
      </c>
      <c r="E52" s="18" t="s">
        <v>104</v>
      </c>
    </row>
    <row r="53" ht="30" customHeight="1">
      <c r="A53" s="7" t="s">
        <v>105</v>
      </c>
      <c r="B53" s="12"/>
      <c r="C53" s="15">
        <v>1</v>
      </c>
      <c r="D53" s="13">
        <f>IF(OR(B53="",C53=""),"",B53*C53)</f>
      </c>
      <c r="E53" s="18" t="s">
        <v>106</v>
      </c>
    </row>
    <row r="54" ht="30" customHeight="1">
      <c r="A54" s="7" t="s">
        <v>107</v>
      </c>
      <c r="B54" s="12"/>
      <c r="C54" s="15">
        <v>1</v>
      </c>
      <c r="D54" s="13">
        <f>IF(OR(B54="",C54=""),"",B54*C54)</f>
      </c>
      <c r="E54" s="18" t="s">
        <v>108</v>
      </c>
    </row>
    <row r="55" ht="30" customHeight="1">
      <c r="A55" s="7" t="s">
        <v>109</v>
      </c>
      <c r="B55" s="12"/>
      <c r="C55" s="15">
        <v>1</v>
      </c>
      <c r="D55" s="13">
        <f>IF(OR(B55="",C55=""),"",B55*C55)</f>
      </c>
      <c r="E55" s="18" t="s">
        <v>110</v>
      </c>
    </row>
    <row r="56" ht="30" customHeight="1">
      <c r="A56" s="7" t="s">
        <v>111</v>
      </c>
      <c r="B56" s="13"/>
      <c r="C56" s="16" t="s">
        <v>112</v>
      </c>
      <c r="D56" s="13">
        <f>(SUM(D18:D26)+SUM(D31:D37)+SUM(D40:D47)+SUM(D50:D55))*10%</f>
      </c>
      <c r="E56" s="18" t="s">
        <v>113</v>
      </c>
    </row>
    <row r="57" ht="30" customHeight="1">
      <c r="A57" s="9" t="s">
        <v>17</v>
      </c>
      <c r="B57" s="9"/>
      <c r="C57" s="9"/>
      <c r="D57" s="9"/>
      <c r="E57" s="9"/>
    </row>
  </sheetData>
  <mergeCells count="7">
    <mergeCell ref="A1:E1"/>
    <mergeCell ref="A2:E2"/>
    <mergeCell ref="A16:E16"/>
    <mergeCell ref="A29:E29"/>
    <mergeCell ref="A38:E38"/>
    <mergeCell ref="A48:E48"/>
    <mergeCell ref="A57:E57"/>
  </mergeCells>
  <conditionalFormatting sqref="A56:E56">
    <cfRule type="expression" dxfId="0" priority="1">
      <formula>$D56&gt;0</formula>
    </cfRule>
  </conditionalFormatting>
  <dataValidations count="2">
    <dataValidation type="list" allowBlank="1" showErrorMessage="1" errorTitle="请从下拉选项中选择" error="该单元格仅支持预设选项。" sqref="B9:B9">
      <formula1>"油车,新能源,混动"</formula1>
    </dataValidation>
    <dataValidation type="list" allowBlank="1" showErrorMessage="1" errorTitle="请从下拉选项中选择" error="该单元格仅支持预设选项。" sqref="B14:B14">
      <formula1>"省钱,适中,舒适"</formula1>
    </dataValidation>
  </dataValidations>
  <printOptions horizontalCentered="1"/>
  <pageMargins left="0.35" right="0.35" top="0.55" bottom="0.55" header="0.2" footer="0.2"/>
  <pageSetup paperSize="9" orientation="portrait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16"/>
  <sheetViews>
    <sheetView workbookViewId="0">
      <pane ySplit="1" topLeftCell="A2" activePane="bottomLeft" state="frozen"/>
      <selection pane="bottomLeft" activeCell="A2" sqref="A2"/>
    </sheetView>
  </sheetViews>
  <sheetFormatPr defaultRowHeight="32"/>
  <cols>
    <col min="1" max="1" width="26" customWidth="1"/>
    <col min="2" max="2" width="20" customWidth="1"/>
    <col min="3" max="3" width="48" customWidth="1"/>
  </cols>
  <sheetData>
    <row r="1" ht="34" customHeight="1">
      <c r="A1" s="1" t="s">
        <v>114</v>
      </c>
      <c r="B1" s="1"/>
      <c r="C1" s="1"/>
    </row>
    <row r="2" ht="32" customHeight="1">
      <c r="A2" s="4" t="s">
        <v>115</v>
      </c>
      <c r="B2" s="4" t="s">
        <v>116</v>
      </c>
      <c r="C2" s="4" t="s">
        <v>13</v>
      </c>
    </row>
    <row r="3" ht="32" customHeight="1">
      <c r="A3" s="7" t="s">
        <v>117</v>
      </c>
      <c r="B3" s="13">
        <f>SUM('预算填写表'!D18:D26)</f>
      </c>
      <c r="C3" s="18" t="s">
        <v>118</v>
      </c>
    </row>
    <row r="4" ht="32" customHeight="1">
      <c r="A4" s="7" t="s">
        <v>119</v>
      </c>
      <c r="B4" s="13">
        <f>'预算填写表'!D31</f>
      </c>
      <c r="C4" s="18" t="s">
        <v>120</v>
      </c>
    </row>
    <row r="5" ht="32" customHeight="1">
      <c r="A5" s="7" t="s">
        <v>121</v>
      </c>
      <c r="B5" s="13">
        <f>SUM('预算填写表'!D32:D37)</f>
      </c>
      <c r="C5" s="18" t="s">
        <v>122</v>
      </c>
    </row>
    <row r="6" ht="32" customHeight="1">
      <c r="A6" s="7" t="s">
        <v>123</v>
      </c>
      <c r="B6" s="13">
        <f>SUM('预算填写表'!D40:D47)</f>
      </c>
      <c r="C6" s="18" t="s">
        <v>124</v>
      </c>
    </row>
    <row r="7" ht="32" customHeight="1">
      <c r="A7" s="7" t="s">
        <v>125</v>
      </c>
      <c r="B7" s="13">
        <f>'预算填写表'!D50</f>
      </c>
      <c r="C7" s="18" t="s">
        <v>99</v>
      </c>
    </row>
    <row r="8" ht="32" customHeight="1">
      <c r="A8" s="7" t="s">
        <v>126</v>
      </c>
      <c r="B8" s="13">
        <f>SUM('预算填写表'!D51:D55)</f>
      </c>
      <c r="C8" s="18" t="s">
        <v>127</v>
      </c>
    </row>
    <row r="9" ht="32" customHeight="1">
      <c r="A9" s="7" t="s">
        <v>111</v>
      </c>
      <c r="B9" s="13">
        <f>'预算填写表'!D56</f>
      </c>
      <c r="C9" s="18" t="s">
        <v>113</v>
      </c>
    </row>
    <row r="10" ht="32" customHeight="1">
      <c r="A10" s="10" t="s">
        <v>128</v>
      </c>
      <c r="B10" s="14">
        <f>SUM(B3:B9)</f>
      </c>
      <c r="C10" s="18" t="s">
        <v>129</v>
      </c>
    </row>
    <row r="11" ht="32" customHeight="1">
      <c r="A11" s="10" t="s">
        <v>130</v>
      </c>
      <c r="B11" s="14">
        <f>IFERROR(B10/'预算填写表'!B6,0)</f>
      </c>
      <c r="C11" s="18" t="s">
        <v>131</v>
      </c>
    </row>
    <row r="12" ht="32" customHeight="1">
      <c r="A12" s="10" t="s">
        <v>132</v>
      </c>
      <c r="B12" s="14">
        <f>IFERROR(B10/'预算填写表'!B5,0)</f>
      </c>
      <c r="C12" s="18" t="s">
        <v>133</v>
      </c>
    </row>
    <row r="13" ht="32" customHeight="1">
      <c r="A13" s="10" t="s">
        <v>134</v>
      </c>
      <c r="B13" s="14">
        <f>IFERROR(B10/'预算填写表'!B6/'预算填写表'!B5,0)</f>
      </c>
      <c r="C13" s="18" t="s">
        <v>135</v>
      </c>
    </row>
    <row r="14" ht="32" customHeight="1">
      <c r="A14" s="10" t="s">
        <v>136</v>
      </c>
      <c r="B14" s="14">
        <f>SUM('预算填写表'!D27:D28)</f>
      </c>
      <c r="C14" s="18" t="s">
        <v>137</v>
      </c>
    </row>
    <row r="15" ht="32" customHeight="1">
      <c r="A15" s="10" t="s">
        <v>138</v>
      </c>
      <c r="B15" s="14">
        <f>B10+B14</f>
      </c>
      <c r="C15" s="18" t="s">
        <v>139</v>
      </c>
    </row>
    <row r="16" ht="32" customHeight="1">
      <c r="A16" s="9" t="s">
        <v>17</v>
      </c>
      <c r="B16" s="9"/>
      <c r="C16" s="9"/>
    </row>
  </sheetData>
  <mergeCells count="2">
    <mergeCell ref="A1:C1"/>
    <mergeCell ref="A16:C16"/>
  </mergeCells>
  <printOptions horizontalCentered="1"/>
  <pageMargins left="0.35" right="0.35" top="0.55" bottom="0.55" header="0.2" footer="0.2"/>
  <pageSetup paperSize="9" orientation="portrait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11"/>
  <sheetViews>
    <sheetView workbookViewId="0">
      <pane ySplit="1" topLeftCell="A2" activePane="bottomLeft" state="frozen"/>
      <selection pane="bottomLeft" activeCell="A2" sqref="A2"/>
    </sheetView>
  </sheetViews>
  <sheetFormatPr defaultRowHeight="34"/>
  <cols>
    <col min="1" max="1" width="28" customWidth="1"/>
    <col min="2" max="2" width="60" customWidth="1"/>
    <col min="3" max="3" width="36" customWidth="1"/>
  </cols>
  <sheetData>
    <row r="1" ht="34" customHeight="1">
      <c r="A1" s="1" t="s">
        <v>140</v>
      </c>
      <c r="B1" s="1"/>
      <c r="C1" s="1"/>
    </row>
    <row r="2" ht="34" customHeight="1">
      <c r="A2" s="4" t="s">
        <v>141</v>
      </c>
      <c r="B2" s="4" t="s">
        <v>142</v>
      </c>
      <c r="C2" s="4" t="s">
        <v>13</v>
      </c>
    </row>
    <row r="3" ht="34" customHeight="1">
      <c r="A3" s="7" t="s">
        <v>143</v>
      </c>
      <c r="B3" s="6">
        <f>IF('总预算汇总'!B11&lt;2000,"经济型",IF('总预算汇总'!B11&lt;5000,"适中型",IF('总预算汇总'!B11&lt;8000,"舒适型","高预算型")))</f>
      </c>
      <c r="C3" s="18" t="s">
        <v>144</v>
      </c>
    </row>
    <row r="4" ht="34" customHeight="1">
      <c r="A4" s="7" t="s">
        <v>145</v>
      </c>
      <c r="B4" s="11">
        <f>IFERROR('总预算汇总'!B3/'总预算汇总'!B10,0)</f>
      </c>
      <c r="C4" s="18" t="s">
        <v>146</v>
      </c>
    </row>
    <row r="5" ht="34" customHeight="1">
      <c r="A5" s="7" t="s">
        <v>147</v>
      </c>
      <c r="B5" s="6">
        <f>IF(B4&lt;30%,"车辆成本合理",IF(B4&lt;45%,"车辆成本偏高，但可接受","车辆成本较高，建议降低车型等级、减少租车天数或避免异地还车"))</f>
      </c>
      <c r="C5" s="18" t="s">
        <v>148</v>
      </c>
    </row>
    <row r="6" ht="34" customHeight="1">
      <c r="A6" s="7" t="s">
        <v>149</v>
      </c>
      <c r="B6" s="6">
        <f>IF(B4&gt;=30%,"建议降低车型等级、避开节假日、减少异地还车或提前预订。","车辆成本占比正常，可继续对比车型和保险。")</f>
      </c>
      <c r="C6" s="18" t="s">
        <v>150</v>
      </c>
    </row>
    <row r="7" ht="34" customHeight="1">
      <c r="A7" s="7" t="s">
        <v>151</v>
      </c>
      <c r="B7" s="6">
        <f>IFERROR(IF('总预算汇总'!B4/'总预算汇总'!B10&gt;=35%,"建议提前订房、错峰出行、选择县城或非核心景区住宿。","住宿费用占比正常。"),"住宿费用占比正常。")</f>
      </c>
      <c r="C7" s="18" t="s">
        <v>152</v>
      </c>
    </row>
    <row r="8" ht="34" customHeight="1">
      <c r="A8" s="7" t="s">
        <v>153</v>
      </c>
      <c r="B8" s="6">
        <f>IFERROR(IF('总预算汇总'!B6/'总预算汇总'!B10&gt;=20%,"建议提前确认门票、区间车、索道等费用，避免现场超预算。","景区游玩费用占比正常。"),"景区游玩费用占比正常。")</f>
      </c>
      <c r="C8" s="18" t="s">
        <v>154</v>
      </c>
    </row>
    <row r="9" ht="34" customHeight="1">
      <c r="A9" s="7" t="s">
        <v>155</v>
      </c>
      <c r="B9" s="6">
        <f>IF(AND('预算填写表'!B9="新能源",'预算填写表'!B8&gt;=800),"建议提前规划充电节点，预留补能时间。","当前无需额外新能源长里程提醒。")</f>
      </c>
      <c r="C9" s="18" t="s">
        <v>156</v>
      </c>
    </row>
    <row r="10" ht="34" customHeight="1">
      <c r="A10" s="7" t="s">
        <v>157</v>
      </c>
      <c r="B10" s="6">
        <f>IF('总预算汇总'!B11&lt;2000,"适合学生党/轻预算路线，优先控制住宿和车型。",IF('总预算汇总'!B11&lt;5000,"适合情侣/朋友常规自驾，预算弹性较好。",IF('总预算汇总'!B11&lt;8000,"适合舒适型路线，可提升住宿或车型。","适合高预算深度游，建议重点确认保险和应急资金。")))</f>
      </c>
      <c r="C10" s="18" t="s">
        <v>158</v>
      </c>
    </row>
    <row r="11" ht="34" customHeight="1">
      <c r="A11" s="9" t="s">
        <v>17</v>
      </c>
      <c r="B11" s="9"/>
      <c r="C11" s="9"/>
    </row>
  </sheetData>
  <mergeCells count="2">
    <mergeCell ref="A1:C1"/>
    <mergeCell ref="A11:C11"/>
  </mergeCells>
  <conditionalFormatting sqref="B3:B5">
    <cfRule type="expression" dxfId="1" priority="1">
      <formula>OR(B3="高预算型",LEFT(B5,6)="车辆成本较高")</formula>
    </cfRule>
  </conditionalFormatting>
  <printOptions horizontalCentered="1"/>
  <pageMargins left="0.35" right="0.35" top="0.55" bottom="0.55" header="0.2" footer="0.2"/>
  <pageSetup paperSize="9" orientation="portrait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5"/>
  <sheetViews>
    <sheetView workbookViewId="0">
      <pane ySplit="1" topLeftCell="A2" activePane="bottomLeft" state="frozen"/>
      <selection pane="bottomLeft" activeCell="A2" sqref="A2"/>
    </sheetView>
  </sheetViews>
  <sheetFormatPr defaultRowHeight="32"/>
  <cols>
    <col min="1" max="1" width="26" customWidth="1"/>
    <col min="2" max="2" width="16" customWidth="1"/>
    <col min="3" max="3" width="16" customWidth="1"/>
    <col min="4" max="4" width="18" customWidth="1"/>
    <col min="5" max="5" width="48" customWidth="1"/>
  </cols>
  <sheetData>
    <row r="1" ht="34" customHeight="1">
      <c r="A1" s="1" t="s">
        <v>159</v>
      </c>
      <c r="B1" s="1"/>
      <c r="C1" s="1"/>
      <c r="D1" s="1"/>
      <c r="E1" s="1"/>
    </row>
    <row r="2" ht="32" customHeight="1">
      <c r="A2" s="3" t="s">
        <v>160</v>
      </c>
      <c r="B2" s="3"/>
      <c r="C2" s="3"/>
      <c r="D2" s="3"/>
      <c r="E2" s="3"/>
    </row>
    <row r="3" ht="32" customHeight="1">
      <c r="A3" s="7" t="s">
        <v>19</v>
      </c>
      <c r="B3" s="5" t="s">
        <v>161</v>
      </c>
      <c r="C3" s="7" t="s">
        <v>21</v>
      </c>
      <c r="D3" s="5" t="s">
        <v>162</v>
      </c>
      <c r="E3" s="7"/>
    </row>
    <row r="4" ht="32" customHeight="1">
      <c r="A4" s="7" t="s">
        <v>23</v>
      </c>
      <c r="B4" s="5">
        <v>6</v>
      </c>
      <c r="C4" s="7" t="s">
        <v>25</v>
      </c>
      <c r="D4" s="5">
        <v>2</v>
      </c>
      <c r="E4" s="7"/>
    </row>
    <row r="5" ht="32" customHeight="1">
      <c r="A5" s="7" t="s">
        <v>26</v>
      </c>
      <c r="B5" s="5">
        <v>6</v>
      </c>
      <c r="C5" s="7" t="s">
        <v>27</v>
      </c>
      <c r="D5" s="5">
        <v>1600</v>
      </c>
      <c r="E5" s="7"/>
    </row>
    <row r="6" ht="32" customHeight="1">
      <c r="A6" s="7" t="s">
        <v>29</v>
      </c>
      <c r="B6" s="5" t="s">
        <v>30</v>
      </c>
      <c r="C6" s="7" t="s">
        <v>32</v>
      </c>
      <c r="D6" s="5">
        <v>9</v>
      </c>
      <c r="E6" s="7"/>
    </row>
    <row r="7" ht="32" customHeight="1">
      <c r="A7" s="7" t="s">
        <v>36</v>
      </c>
      <c r="B7" s="5">
        <v>8</v>
      </c>
      <c r="C7" s="7"/>
      <c r="D7" s="7"/>
      <c r="E7" s="7"/>
    </row>
    <row r="8" ht="32" customHeight="1">
      <c r="A8" s="18"/>
      <c r="B8" s="18"/>
      <c r="C8" s="18"/>
      <c r="D8" s="18"/>
      <c r="E8" s="18"/>
    </row>
    <row r="9" ht="32" customHeight="1">
      <c r="A9" s="4" t="s">
        <v>44</v>
      </c>
      <c r="B9" s="4" t="s">
        <v>45</v>
      </c>
      <c r="C9" s="4" t="s">
        <v>46</v>
      </c>
      <c r="D9" s="4" t="s">
        <v>47</v>
      </c>
      <c r="E9" s="4" t="s">
        <v>48</v>
      </c>
    </row>
    <row r="10" ht="32" customHeight="1">
      <c r="A10" s="7" t="s">
        <v>49</v>
      </c>
      <c r="B10" s="12">
        <v>400</v>
      </c>
      <c r="C10" s="15">
        <v>6</v>
      </c>
      <c r="D10" s="13">
        <f>B10*C10</f>
      </c>
      <c r="E10" s="18" t="s">
        <v>163</v>
      </c>
    </row>
    <row r="11" ht="32" customHeight="1">
      <c r="A11" s="7" t="s">
        <v>53</v>
      </c>
      <c r="B11" s="12">
        <v>50</v>
      </c>
      <c r="C11" s="15">
        <v>6</v>
      </c>
      <c r="D11" s="13">
        <f>B11*C11</f>
      </c>
      <c r="E11" s="18" t="s">
        <v>164</v>
      </c>
    </row>
    <row r="12" ht="32" customHeight="1">
      <c r="A12" s="7" t="s">
        <v>54</v>
      </c>
      <c r="B12" s="12">
        <v>80</v>
      </c>
      <c r="C12" s="15">
        <v>6</v>
      </c>
      <c r="D12" s="13">
        <f>B12*C12</f>
      </c>
      <c r="E12" s="18" t="s">
        <v>165</v>
      </c>
    </row>
    <row r="13" ht="32" customHeight="1">
      <c r="A13" s="7" t="s">
        <v>166</v>
      </c>
      <c r="B13" s="13"/>
      <c r="C13" s="16"/>
      <c r="D13" s="13">
        <f>1600/100*9*8</f>
      </c>
      <c r="E13" s="18" t="s">
        <v>167</v>
      </c>
    </row>
    <row r="14" ht="32" customHeight="1">
      <c r="A14" s="7" t="s">
        <v>59</v>
      </c>
      <c r="B14" s="12">
        <v>500</v>
      </c>
      <c r="C14" s="15">
        <v>1</v>
      </c>
      <c r="D14" s="13">
        <f>B14*C14</f>
      </c>
      <c r="E14" s="18" t="s">
        <v>168</v>
      </c>
    </row>
    <row r="15" ht="32" customHeight="1">
      <c r="A15" s="7" t="s">
        <v>61</v>
      </c>
      <c r="B15" s="12">
        <v>20</v>
      </c>
      <c r="C15" s="15">
        <v>6</v>
      </c>
      <c r="D15" s="13">
        <f>B15*C15</f>
      </c>
      <c r="E15" s="18" t="s">
        <v>169</v>
      </c>
    </row>
    <row r="16" ht="32" customHeight="1">
      <c r="A16" s="7" t="s">
        <v>170</v>
      </c>
      <c r="B16" s="12">
        <v>350</v>
      </c>
      <c r="C16" s="15">
        <v>5</v>
      </c>
      <c r="D16" s="13">
        <f>B16*C16</f>
      </c>
      <c r="E16" s="18" t="s">
        <v>171</v>
      </c>
    </row>
    <row r="17" ht="32" customHeight="1">
      <c r="A17" s="7" t="s">
        <v>71</v>
      </c>
      <c r="B17" s="12">
        <v>20</v>
      </c>
      <c r="C17" s="15">
        <v>12</v>
      </c>
      <c r="D17" s="13">
        <f>B17*C17</f>
      </c>
      <c r="E17" s="18" t="s">
        <v>172</v>
      </c>
    </row>
    <row r="18" ht="32" customHeight="1">
      <c r="A18" s="7" t="s">
        <v>73</v>
      </c>
      <c r="B18" s="12">
        <v>40</v>
      </c>
      <c r="C18" s="15">
        <v>12</v>
      </c>
      <c r="D18" s="13">
        <f>B18*C18</f>
      </c>
      <c r="E18" s="18" t="s">
        <v>173</v>
      </c>
    </row>
    <row r="19" ht="32" customHeight="1">
      <c r="A19" s="7" t="s">
        <v>74</v>
      </c>
      <c r="B19" s="12">
        <v>70</v>
      </c>
      <c r="C19" s="15">
        <v>12</v>
      </c>
      <c r="D19" s="13">
        <f>B19*C19</f>
      </c>
      <c r="E19" s="18" t="s">
        <v>174</v>
      </c>
    </row>
    <row r="20" ht="32" customHeight="1">
      <c r="A20" s="7" t="s">
        <v>175</v>
      </c>
      <c r="B20" s="12">
        <v>600</v>
      </c>
      <c r="C20" s="15">
        <v>2</v>
      </c>
      <c r="D20" s="13">
        <f>B20*C20</f>
      </c>
      <c r="E20" s="18" t="s">
        <v>176</v>
      </c>
    </row>
    <row r="21" ht="32" customHeight="1">
      <c r="A21" s="7" t="s">
        <v>177</v>
      </c>
      <c r="B21" s="12">
        <v>1800</v>
      </c>
      <c r="C21" s="15">
        <v>2</v>
      </c>
      <c r="D21" s="13">
        <f>B21*C21</f>
      </c>
      <c r="E21" s="18" t="s">
        <v>178</v>
      </c>
    </row>
    <row r="22" ht="32" customHeight="1">
      <c r="A22" s="7" t="s">
        <v>111</v>
      </c>
      <c r="B22" s="13"/>
      <c r="C22" s="16" t="s">
        <v>112</v>
      </c>
      <c r="D22" s="13">
        <f>SUM(D10:D21)*10%</f>
      </c>
      <c r="E22" s="18" t="s">
        <v>179</v>
      </c>
    </row>
    <row r="23" ht="32" customHeight="1">
      <c r="A23" s="10" t="s">
        <v>180</v>
      </c>
      <c r="B23" s="7"/>
      <c r="C23" s="7"/>
      <c r="D23" s="14">
        <f>SUM(D10:D22)</f>
      </c>
      <c r="E23" s="18" t="s">
        <v>181</v>
      </c>
    </row>
    <row r="24" ht="32" customHeight="1">
      <c r="A24" s="10" t="s">
        <v>182</v>
      </c>
      <c r="B24" s="7"/>
      <c r="C24" s="7"/>
      <c r="D24" s="14">
        <f>D23/2</f>
      </c>
      <c r="E24" s="18" t="s">
        <v>183</v>
      </c>
    </row>
    <row r="25" ht="32" customHeight="1">
      <c r="A25" s="9" t="s">
        <v>17</v>
      </c>
      <c r="B25" s="9"/>
      <c r="C25" s="9"/>
      <c r="D25" s="9"/>
      <c r="E25" s="9"/>
    </row>
  </sheetData>
  <autoFilter ref="A9:E22"/>
  <mergeCells count="3">
    <mergeCell ref="A1:E1"/>
    <mergeCell ref="A2:E2"/>
    <mergeCell ref="A25:E25"/>
  </mergeCells>
  <printOptions horizontalCentered="1"/>
  <pageMargins left="0.35" right="0.35" top="0.55" bottom="0.55" header="0.2" footer="0.2"/>
  <pageSetup paperSize="9" orientation="portrait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7"/>
  <sheetViews>
    <sheetView workbookViewId="0">
      <pane ySplit="1" topLeftCell="A2" activePane="bottomLeft" state="frozen"/>
      <selection pane="bottomLeft" activeCell="A2" sqref="A2"/>
    </sheetView>
  </sheetViews>
  <sheetFormatPr defaultRowHeight="34"/>
  <cols>
    <col min="1" max="1" width="20" customWidth="1"/>
    <col min="2" max="2" width="72" customWidth="1"/>
    <col min="3" max="3" width="12" customWidth="1"/>
    <col min="4" max="4" width="12" customWidth="1"/>
  </cols>
  <sheetData>
    <row r="1" ht="34" customHeight="1">
      <c r="A1" s="1" t="s">
        <v>184</v>
      </c>
      <c r="B1" s="1"/>
      <c r="C1" s="1"/>
      <c r="D1" s="1"/>
    </row>
    <row r="2" ht="34" customHeight="1">
      <c r="A2" s="3" t="s">
        <v>185</v>
      </c>
      <c r="B2" s="7" t="s">
        <v>186</v>
      </c>
      <c r="C2" s="7"/>
      <c r="D2" s="7"/>
    </row>
    <row r="3" ht="34" customHeight="1">
      <c r="A3" s="3" t="s">
        <v>187</v>
      </c>
      <c r="B3" s="7" t="s">
        <v>188</v>
      </c>
      <c r="C3" s="7"/>
      <c r="D3" s="7"/>
    </row>
    <row r="4" ht="34" customHeight="1">
      <c r="A4" s="3" t="s">
        <v>189</v>
      </c>
      <c r="B4" s="7" t="s">
        <v>190</v>
      </c>
      <c r="C4" s="7"/>
      <c r="D4" s="7"/>
    </row>
    <row r="5" ht="34" customHeight="1">
      <c r="A5" s="3" t="s">
        <v>191</v>
      </c>
      <c r="B5" s="7" t="s">
        <v>192</v>
      </c>
      <c r="C5" s="7"/>
      <c r="D5" s="7"/>
    </row>
    <row r="6" ht="34" customHeight="1">
      <c r="A6" s="3" t="s">
        <v>193</v>
      </c>
      <c r="B6" s="8" t="s">
        <v>194</v>
      </c>
      <c r="C6" s="7"/>
      <c r="D6" s="7"/>
    </row>
    <row r="7" ht="34" customHeight="1">
      <c r="A7" s="9" t="s">
        <v>17</v>
      </c>
      <c r="B7" s="9"/>
      <c r="C7" s="9"/>
      <c r="D7" s="9"/>
    </row>
  </sheetData>
  <mergeCells count="7">
    <mergeCell ref="A1:D1"/>
    <mergeCell ref="B2:D2"/>
    <mergeCell ref="B3:D3"/>
    <mergeCell ref="B4:D4"/>
    <mergeCell ref="B5:D5"/>
    <mergeCell ref="B6:D6"/>
    <mergeCell ref="A7:D7"/>
  </mergeCells>
  <printOptions horizontalCentered="1"/>
  <pageMargins left="0.35" right="0.35" top="0.55" bottom="0.55" header="0.2" footer="0.2"/>
  <pageSetup paperSize="9" orientation="portrait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使用说明</vt:lpstr>
      <vt:lpstr>预算填写表</vt:lpstr>
      <vt:lpstr>总预算汇总</vt:lpstr>
      <vt:lpstr>智能预算判断</vt:lpstr>
      <vt:lpstr>示例预算</vt:lpstr>
      <vt:lpstr>PDF导出建议版式</vt:lpstr>
    </vt:vector>
  </TitlesOfParts>
  <Company/>
  <LinksUpToDate>false</LinksUpToDate>
  <SharedDoc>false</SharedDoc>
  <HyperlinksChanged>false</HyperlinksChanged>
  <AppVersion>16.0000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自驾旅行预算测算表</dc:title>
  <dc:creator>Codex</dc:creator>
  <cp:lastModifiedBy>Codex</cp:lastModifiedBy>
  <dcterms:created xsi:type="dcterms:W3CDTF">2026-05-13T09:03:04Z</dcterms:created>
  <dcterms:modified xsi:type="dcterms:W3CDTF">2026-05-13T09:03:04Z</dcterms:modified>
</cp:coreProperties>
</file>