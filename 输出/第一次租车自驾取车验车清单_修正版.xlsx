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取车验车清单" sheetId="2" r:id="rId2"/>
    <sheet name="验车完成度" sheetId="3" r:id="rId3"/>
    <sheet name="拍照模板" sheetId="4" r:id="rId4"/>
    <sheet name="PDF导出建议版式" sheetId="5" r:id="rId5"/>
  </sheets>
  <calcPr calcId="0" fullCalcOnLoad="1" forceFullCalc="1"/>
</workbook>
</file>

<file path=xl/sharedStrings.xml><?xml version="1.0" encoding="utf-8"?>
<sst xmlns="http://schemas.openxmlformats.org/spreadsheetml/2006/main" count="192" uniqueCount="192">
  <si>
    <t>《第一次租车自驾取车验车清单》</t>
  </si>
  <si>
    <t>适合机场、高铁站、门店取车时使用，建议取车前、取车时、还车前都看一遍。</t>
  </si>
  <si>
    <t>使用步骤</t>
  </si>
  <si>
    <t>1</t>
  </si>
  <si>
    <t>取车前先确认订单、押金、保险、还车要求。</t>
  </si>
  <si>
    <t>2</t>
  </si>
  <si>
    <t>取车时按清单逐项检查。</t>
  </si>
  <si>
    <t>3</t>
  </si>
  <si>
    <t>重点拍摄车身一圈视频、轮胎轮毂、玻璃、底盘、仪表盘。</t>
  </si>
  <si>
    <t>4</t>
  </si>
  <si>
    <t>还车前再次拍摄车辆状态。</t>
  </si>
  <si>
    <t>5</t>
  </si>
  <si>
    <t>保留平台订单、聊天记录、还车凭证。</t>
  </si>
  <si>
    <t>免责声明</t>
  </si>
  <si>
    <t>本清单仅供租车自驾参考，具体责任以租车平台、门店和合同约定为准。</t>
  </si>
  <si>
    <t>更多租车自驾攻略：小红书 @你的账号名</t>
  </si>
  <si>
    <t>模块</t>
  </si>
  <si>
    <t>检查项</t>
  </si>
  <si>
    <t>是否完成</t>
  </si>
  <si>
    <t>风险等级</t>
  </si>
  <si>
    <t>拍照/确认建议</t>
  </si>
  <si>
    <t>备注</t>
  </si>
  <si>
    <t>取车前确认</t>
  </si>
  <si>
    <t>核对订单车型、车牌、取还车时间</t>
  </si>
  <si>
    <t>未检查</t>
  </si>
  <si>
    <t>高</t>
  </si>
  <si>
    <t>截图保存订单、合同、客服/门店沟通记录。</t>
  </si>
  <si>
    <t>确认取车门店/交车地点</t>
  </si>
  <si>
    <t>中</t>
  </si>
  <si>
    <t>确认车辆押金金额</t>
  </si>
  <si>
    <t>确认违章押金金额</t>
  </si>
  <si>
    <t>确认押金退还时间</t>
  </si>
  <si>
    <t>确认是否需要信用卡/芝麻信用</t>
  </si>
  <si>
    <t>确认是否限制里程</t>
  </si>
  <si>
    <t>确认超里程收费规则</t>
  </si>
  <si>
    <t>确认是否支持异地还车</t>
  </si>
  <si>
    <t>确认异地还车费</t>
  </si>
  <si>
    <t>确认还车油量/电量要求</t>
  </si>
  <si>
    <t>保存平台订单和客服联系方式</t>
  </si>
  <si>
    <t>车身外观检查</t>
  </si>
  <si>
    <t>前保险杠</t>
  </si>
  <si>
    <t>远景+近景拍照，划痕/凹陷处要拍清楚并让门店标注。</t>
  </si>
  <si>
    <t>后保险杠</t>
  </si>
  <si>
    <t>左前门、左后门</t>
  </si>
  <si>
    <t>右前门、右后门</t>
  </si>
  <si>
    <t>前后翼子板</t>
  </si>
  <si>
    <t>发动机盖/前机盖</t>
  </si>
  <si>
    <t>后备厢盖</t>
  </si>
  <si>
    <t>车顶</t>
  </si>
  <si>
    <t>前挡风玻璃</t>
  </si>
  <si>
    <t>四个车窗玻璃</t>
  </si>
  <si>
    <t>后视镜</t>
  </si>
  <si>
    <t>底盘可见区域</t>
  </si>
  <si>
    <t>轮胎轮毂检查</t>
  </si>
  <si>
    <t>左前轮轮胎</t>
  </si>
  <si>
    <t>拍胎面、胎侧、轮毂外圈，破损或鼓包要当场确认。</t>
  </si>
  <si>
    <t>右前轮轮胎</t>
  </si>
  <si>
    <t>左后轮轮胎</t>
  </si>
  <si>
    <t>右后轮轮胎</t>
  </si>
  <si>
    <t>左前轮轮毂</t>
  </si>
  <si>
    <t>右前轮轮毂</t>
  </si>
  <si>
    <t>左后轮轮毂</t>
  </si>
  <si>
    <t>右后轮轮毂</t>
  </si>
  <si>
    <t>胎压是否正常</t>
  </si>
  <si>
    <t>是否有备胎</t>
  </si>
  <si>
    <t>是否有补胎液/充气泵</t>
  </si>
  <si>
    <t>车内功能检查</t>
  </si>
  <si>
    <t>当前油量/电量</t>
  </si>
  <si>
    <t>拍仪表盘和功能状态，异常最好录一段短视频。</t>
  </si>
  <si>
    <t>当前总里程</t>
  </si>
  <si>
    <t>仪表盘是否有故障灯</t>
  </si>
  <si>
    <t>空调制冷/制热</t>
  </si>
  <si>
    <t>车机导航</t>
  </si>
  <si>
    <t>低</t>
  </si>
  <si>
    <t>倒车影像</t>
  </si>
  <si>
    <t>前后雷达</t>
  </si>
  <si>
    <t>大灯、转向灯、刹车灯</t>
  </si>
  <si>
    <t>雨刷</t>
  </si>
  <si>
    <t>喇叭</t>
  </si>
  <si>
    <t>车窗升降</t>
  </si>
  <si>
    <t>座椅调节</t>
  </si>
  <si>
    <t>安全带</t>
  </si>
  <si>
    <t>后备厢开关</t>
  </si>
  <si>
    <t>USB/Type-C 充电口</t>
  </si>
  <si>
    <t>蓝牙/CarPlay/HiCar</t>
  </si>
  <si>
    <t>天窗/遮阳帘</t>
  </si>
  <si>
    <t>随车证件与工具</t>
  </si>
  <si>
    <t>行驶证</t>
  </si>
  <si>
    <t>确认是否在车内，缺失要在取车单/聊天记录里备注。</t>
  </si>
  <si>
    <t>车辆保险信息</t>
  </si>
  <si>
    <t>三角警示牌</t>
  </si>
  <si>
    <t>反光背心</t>
  </si>
  <si>
    <t>备胎</t>
  </si>
  <si>
    <t>千斤顶</t>
  </si>
  <si>
    <t>补胎液/充气泵</t>
  </si>
  <si>
    <t>充电线/转接头</t>
  </si>
  <si>
    <t>ETC</t>
  </si>
  <si>
    <t>备用钥匙</t>
  </si>
  <si>
    <t>保险与费用确认</t>
  </si>
  <si>
    <t>基础保险包含哪些项目</t>
  </si>
  <si>
    <t>截图保险条款和费用规则，不清楚的当场问清责任边界。</t>
  </si>
  <si>
    <t>是否购买补充保险</t>
  </si>
  <si>
    <t>是否有不计免赔</t>
  </si>
  <si>
    <t>起赔金额是多少</t>
  </si>
  <si>
    <t>轮胎轮毂是否赔付</t>
  </si>
  <si>
    <t>玻璃单独破损是否赔付</t>
  </si>
  <si>
    <t>底盘损伤是否赔付</t>
  </si>
  <si>
    <t>涉水是否赔付</t>
  </si>
  <si>
    <t>道路救援是否免费</t>
  </si>
  <si>
    <t>出险后先联系谁</t>
  </si>
  <si>
    <t>是否需要现场报案</t>
  </si>
  <si>
    <t>违章如何处理</t>
  </si>
  <si>
    <t>还车超时如何收费</t>
  </si>
  <si>
    <t>还车前确认</t>
  </si>
  <si>
    <t>油量/电量是否达到要求</t>
  </si>
  <si>
    <t>还车前后各拍一次，保留还车凭证和费用确认记录。</t>
  </si>
  <si>
    <t>车内个人物品是否带走</t>
  </si>
  <si>
    <t>车内垃圾是否清理</t>
  </si>
  <si>
    <t>是否拍摄还车视频</t>
  </si>
  <si>
    <t>是否拍摄油量/电量和里程</t>
  </si>
  <si>
    <t>是否现场确认验车结果</t>
  </si>
  <si>
    <t>是否拿到还车凭证</t>
  </si>
  <si>
    <t>是否确认押金退还时间</t>
  </si>
  <si>
    <t>是否确认是否有额外扣费</t>
  </si>
  <si>
    <t>验车完成度自动统计</t>
  </si>
  <si>
    <t>统计项</t>
  </si>
  <si>
    <t>结果</t>
  </si>
  <si>
    <t>说明</t>
  </si>
  <si>
    <t>建议动作</t>
  </si>
  <si>
    <t>总检查项数量</t>
  </si>
  <si>
    <t>清单内全部检查项数量</t>
  </si>
  <si>
    <t>取车前先看一遍全表</t>
  </si>
  <si>
    <t>已完成数量</t>
  </si>
  <si>
    <t>状态选择“已完成”的数量</t>
  </si>
  <si>
    <t>越接近总数越安心</t>
  </si>
  <si>
    <t>未检查数量</t>
  </si>
  <si>
    <t>还没有检查的数量</t>
  </si>
  <si>
    <t>优先处理高风险项</t>
  </si>
  <si>
    <t>不适用数量</t>
  </si>
  <si>
    <t>本次用不到的项目</t>
  </si>
  <si>
    <t>例如新能源车没有备胎可标不适用</t>
  </si>
  <si>
    <t>高风险未完成数量</t>
  </si>
  <si>
    <t>高风险项仍为“未检查”的数量</t>
  </si>
  <si>
    <t>只要大于 0，就先别急着确认取车</t>
  </si>
  <si>
    <t>完成度百分比</t>
  </si>
  <si>
    <t>已完成数量 /（总数 - 不适用）</t>
  </si>
  <si>
    <t>建议达到 90% 以上</t>
  </si>
  <si>
    <t>风险等级判断</t>
  </si>
  <si>
    <t>按完成度和高风险未完成数量自动判断</t>
  </si>
  <si>
    <t>红色提示时先补拍/补确认</t>
  </si>
  <si>
    <t>拍摄内容</t>
  </si>
  <si>
    <t>建议拍摄方式</t>
  </si>
  <si>
    <t>使用时机</t>
  </si>
  <si>
    <t>绕车一圈视频</t>
  </si>
  <si>
    <t>从车头开始顺时针，车牌、四角、两侧都入镜</t>
  </si>
  <si>
    <t>取车/还车</t>
  </si>
  <si>
    <t>拍正面和左右角，已有刮痕要近景</t>
  </si>
  <si>
    <t>取车</t>
  </si>
  <si>
    <t>拍正面和左右角，注意倒车痕迹</t>
  </si>
  <si>
    <t>左侧车身</t>
  </si>
  <si>
    <t>车门、翼子板、下裙边连贯拍摄</t>
  </si>
  <si>
    <t>右侧车身</t>
  </si>
  <si>
    <t>四个轮胎</t>
  </si>
  <si>
    <t>胎面、胎侧、鼓包/裂纹单独拍</t>
  </si>
  <si>
    <t>四个轮毂</t>
  </si>
  <si>
    <t>轮毂外圈划伤和缺口近景拍</t>
  </si>
  <si>
    <t>逆光看裂纹和小坑，必要时近景</t>
  </si>
  <si>
    <t>后备厢</t>
  </si>
  <si>
    <t>拍内部、盖板、随车工具位置</t>
  </si>
  <si>
    <t>举高手机扫一遍，SUV/MPV尤其注意</t>
  </si>
  <si>
    <t>车头、车尾、侧边能看到的区域拍清楚</t>
  </si>
  <si>
    <t>仪表盘油量/电量</t>
  </si>
  <si>
    <t>拍清油量/电量和续航显示</t>
  </si>
  <si>
    <t>里程数字要清晰，避免反光</t>
  </si>
  <si>
    <t>故障灯状态</t>
  </si>
  <si>
    <t>车辆通电后拍仪表盘状态</t>
  </si>
  <si>
    <t>还车时车辆一圈视频</t>
  </si>
  <si>
    <t>还车前绕车一圈，环境和车牌入镜</t>
  </si>
  <si>
    <t>还车</t>
  </si>
  <si>
    <t>还车时仪表盘</t>
  </si>
  <si>
    <t>油量/电量、总里程、故障灯同框</t>
  </si>
  <si>
    <t>PDF 导出建议版式</t>
  </si>
  <si>
    <t>适合用途</t>
  </si>
  <si>
    <t>小红书笔记预览图、粉丝领取前试看、私信自动回复附件说明。</t>
  </si>
  <si>
    <t>推荐导出范围</t>
  </si>
  <si>
    <t>使用说明、验车完成度、拍照模板可做预览；完整领取版建议包含全部 Sheet。</t>
  </si>
  <si>
    <t>页面设置</t>
  </si>
  <si>
    <t>A4 竖向；页边距选“窄”；缩放选“将所有列调整为一页”；清单页允许多页。</t>
  </si>
  <si>
    <t>截图建议</t>
  </si>
  <si>
    <t>手机截图优先截：标题区、完成度统计区、拍照模板前 10 项；清单长表可导出 PDF 展示。</t>
  </si>
  <si>
    <t>品牌露出</t>
  </si>
  <si>
    <t>导出前把底部“小红书 @你的账号名”替换为你的真实账号。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</si>
</sst>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¥#,##0"/>
    <numFmt numFmtId="166" formatCode="#,##0.00"/>
  </numFmts>
  <fonts count="8">
    <font>
      <sz val="11"/>
      <color rgb="FF263238"/>
      <name val="Microsoft YaHei"/>
    </font>
    <font>
      <b/>
      <sz val="16"/>
      <color rgb="FF1B6F6A"/>
      <name val="Microsoft YaHei"/>
    </font>
    <font>
      <b/>
      <sz val="11"/>
      <color rgb="FFFFFFFF"/>
      <name val="Microsoft YaHei"/>
    </font>
    <font>
      <b/>
      <sz val="11"/>
      <color rgb="FF1B6F6A"/>
      <name val="Microsoft YaHei"/>
    </font>
    <font>
      <b/>
      <sz val="11"/>
      <color rgb="FFB42318"/>
      <name val="Microsoft YaHei"/>
    </font>
    <font>
      <b/>
      <sz val="11"/>
      <color rgb="FFE25273"/>
      <name val="Microsoft YaHei"/>
    </font>
    <font>
      <b/>
      <sz val="11"/>
      <color rgb="FF263238"/>
      <name val="Microsoft YaHei"/>
    </font>
    <font>
      <b/>
      <sz val="11"/>
      <color rgb="FF146C94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2C9A92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DDF2FF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E8F7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F4"/>
        <bgColor indexed="64"/>
      </patternFill>
    </fill>
    <fill>
      <patternFill patternType="solid">
        <fgColor rgb="FFF5F7F8"/>
        <bgColor indexed="64"/>
      </patternFill>
    </fill>
  </fills>
  <borders count="2">
    <border>
      <left/>
      <right/>
      <top/>
      <bottom/>
      <diagonal/>
    </border>
    <border>
      <left style="thin">
        <color rgb="FFD8E4E2"/>
      </left>
      <right style="thin">
        <color rgb="FFD8E4E2"/>
      </right>
      <top style="thin">
        <color rgb="FFD8E4E2"/>
      </top>
      <bottom style="thin">
        <color rgb="FFD8E4E2"/>
      </bottom>
      <diagonal/>
    </border>
  </borders>
  <cellStyleXfs count="1">
    <xf numFmtId="0" fontId="0" fillId="0" borderId="0"/>
  </cellStyleXfs>
  <cellXfs count="19">
    <xf numFmtId="0" fontId="0" fillId="0" borderId="0" xfId="0">
      <alignment vertical="top" wrapText="1"/>
    </xf>
    <xf numFmtId="0" fontId="1" fillId="7" borderId="0" xfId="0" applyFont="1">
      <alignment horizontal="center" vertical="center" wrapText="1"/>
    </xf>
    <xf numFmtId="0" fontId="0" fillId="6" borderId="1" xfId="0" applyFill="1" applyBorder="1">
      <alignment vertical="center" wrapText="1"/>
    </xf>
    <xf numFmtId="0" fontId="3" fillId="6" borderId="1" xfId="0" applyFill="1" applyFont="1" applyBorder="1">
      <alignment vertical="center" wrapText="1"/>
    </xf>
    <xf numFmtId="0" fontId="2" fillId="2" borderId="1" xfId="0" applyFill="1" applyFont="1" applyBorder="1">
      <alignment horizontal="center" vertical="center" wrapText="1"/>
    </xf>
    <xf numFmtId="0" fontId="0" fillId="3" borderId="1" xfId="0" applyFill="1" applyBorder="1">
      <alignment vertical="center" wrapText="1"/>
    </xf>
    <xf numFmtId="0" fontId="0" fillId="4" borderId="1" xfId="0" applyFill="1" applyBorder="1">
      <alignment vertical="center" wrapText="1"/>
    </xf>
    <xf numFmtId="0" fontId="0" fillId="7" borderId="1" xfId="0" applyFill="1" applyBorder="1">
      <alignment vertical="top" wrapText="1"/>
    </xf>
    <xf numFmtId="0" fontId="4" fillId="5" borderId="1" xfId="0" applyFill="1" applyFont="1" applyBorder="1">
      <alignment vertical="center" wrapText="1"/>
    </xf>
    <xf numFmtId="0" fontId="5" fillId="8" borderId="1" xfId="0" applyFill="1" applyFont="1" applyBorder="1">
      <alignment horizontal="center" vertical="center" wrapText="1"/>
    </xf>
    <xf numFmtId="0" fontId="6" fillId="7" borderId="1" xfId="0" applyFill="1" applyFont="1" applyBorder="1">
      <alignment vertical="center" wrapText="1"/>
    </xf>
    <xf numFmtId="164" fontId="7" fillId="4" borderId="1" xfId="0" applyNumberFormat="1" applyFill="1" applyFont="1" applyBorder="1">
      <alignment vertical="center" wrapText="1"/>
    </xf>
    <xf numFmtId="165" fontId="0" fillId="3" borderId="1" xfId="0" applyNumberFormat="1" applyFill="1" applyBorder="1">
      <alignment vertical="center" wrapText="1"/>
    </xf>
    <xf numFmtId="165" fontId="0" fillId="4" borderId="1" xfId="0" applyNumberFormat="1" applyFill="1" applyBorder="1">
      <alignment vertical="center" wrapText="1"/>
    </xf>
    <xf numFmtId="165" fontId="6" fillId="4" borderId="1" xfId="0" applyNumberFormat="1" applyFill="1" applyFont="1" applyBorder="1">
      <alignment vertical="center" wrapText="1"/>
    </xf>
    <xf numFmtId="0" fontId="0" fillId="3" borderId="1" xfId="0" applyFill="1" applyBorder="1">
      <alignment horizontal="center" vertical="center" wrapText="1"/>
    </xf>
    <xf numFmtId="0" fontId="0" fillId="4" borderId="1" xfId="0" applyFill="1" applyBorder="1">
      <alignment horizontal="center" vertical="center" wrapText="1"/>
    </xf>
    <xf numFmtId="0" fontId="4" fillId="5" borderId="1" xfId="0" applyFill="1" applyFont="1" applyBorder="1">
      <alignment horizontal="center" vertical="center" wrapText="1"/>
    </xf>
    <xf numFmtId="0" fontId="0" fillId="9" borderId="1" xfId="0" applyFill="1" applyBorder="1">
      <alignment vertical="center" wrapText="1"/>
    </xf>
  </cellXfs>
  <cellStyles count="1">
    <cellStyle name="Normal" xfId="0" builtinId="0"/>
  </cellStyles>
  <dxfs count="2">
    <dxf>
      <font>
        <color rgb="FFB42318"/>
      </font>
      <fill>
        <patternFill patternType="solid">
          <fgColor rgb="FFFFE2E2"/>
          <bgColor indexed="64"/>
        </patternFill>
      </fill>
    </dxf>
    <dxf>
      <font>
        <b/>
        <color rgb="FFB42318"/>
      </font>
      <fill>
        <patternFill patternType="solid">
          <fgColor rgb="FFFFE2E2"/>
          <bgColor indexed="64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34"/>
  <cols>
    <col min="1" max="1" width="10" customWidth="1"/>
    <col min="2" max="2" width="30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4" customHeight="1">
      <c r="A1" s="1" t="s">
        <v>0</v>
      </c>
      <c r="B1" s="1"/>
      <c r="C1" s="1"/>
      <c r="D1" s="1"/>
      <c r="E1" s="1"/>
      <c r="F1" s="1"/>
    </row>
    <row r="2" ht="34" customHeight="1">
      <c r="A2" s="2" t="s">
        <v>1</v>
      </c>
      <c r="B2" s="2"/>
      <c r="C2" s="2"/>
      <c r="D2" s="2"/>
      <c r="E2" s="2"/>
      <c r="F2" s="2"/>
    </row>
    <row r="3" ht="34" customHeight="1">
      <c r="A3" s="3" t="s">
        <v>2</v>
      </c>
      <c r="B3" s="3"/>
      <c r="C3" s="3"/>
      <c r="D3" s="3"/>
      <c r="E3" s="3"/>
      <c r="F3" s="3"/>
    </row>
    <row r="4" ht="34" customHeight="1">
      <c r="A4" s="16" t="s">
        <v>3</v>
      </c>
      <c r="B4" s="7" t="s">
        <v>4</v>
      </c>
      <c r="C4" s="7"/>
      <c r="D4" s="7"/>
      <c r="E4" s="7"/>
      <c r="F4" s="7"/>
    </row>
    <row r="5" ht="34" customHeight="1">
      <c r="A5" s="16" t="s">
        <v>5</v>
      </c>
      <c r="B5" s="7" t="s">
        <v>6</v>
      </c>
      <c r="C5" s="7"/>
      <c r="D5" s="7"/>
      <c r="E5" s="7"/>
      <c r="F5" s="7"/>
    </row>
    <row r="6" ht="34" customHeight="1">
      <c r="A6" s="16" t="s">
        <v>7</v>
      </c>
      <c r="B6" s="7" t="s">
        <v>8</v>
      </c>
      <c r="C6" s="7"/>
      <c r="D6" s="7"/>
      <c r="E6" s="7"/>
      <c r="F6" s="7"/>
    </row>
    <row r="7" ht="34" customHeight="1">
      <c r="A7" s="16" t="s">
        <v>9</v>
      </c>
      <c r="B7" s="7" t="s">
        <v>10</v>
      </c>
      <c r="C7" s="7"/>
      <c r="D7" s="7"/>
      <c r="E7" s="7"/>
      <c r="F7" s="7"/>
    </row>
    <row r="8" ht="34" customHeight="1">
      <c r="A8" s="16" t="s">
        <v>11</v>
      </c>
      <c r="B8" s="7" t="s">
        <v>12</v>
      </c>
      <c r="C8" s="7"/>
      <c r="D8" s="7"/>
      <c r="E8" s="7"/>
      <c r="F8" s="7"/>
    </row>
    <row r="9" ht="34" customHeight="1">
      <c r="A9" s="3" t="s">
        <v>13</v>
      </c>
      <c r="B9" s="7" t="s">
        <v>14</v>
      </c>
      <c r="C9" s="7"/>
      <c r="D9" s="7"/>
      <c r="E9" s="7"/>
      <c r="F9" s="7"/>
    </row>
    <row r="10" ht="34" customHeight="1">
      <c r="A10" s="9" t="s">
        <v>15</v>
      </c>
      <c r="B10" s="9"/>
      <c r="C10" s="9"/>
      <c r="D10" s="9"/>
      <c r="E10" s="9"/>
      <c r="F10" s="9"/>
    </row>
  </sheetData>
  <mergeCells count="10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A10:F10"/>
  </mergeCells>
  <printOptions horizontalCentered="1"/>
  <pageMargins left="0.35" right="0.35" top="0.55" bottom="0.55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6"/>
  <sheetViews>
    <sheetView workbookViewId="0">
      <pane ySplit="1" topLeftCell="A2" activePane="bottomLeft" state="frozen"/>
      <selection pane="bottomLeft" activeCell="A2" sqref="A2"/>
    </sheetView>
  </sheetViews>
  <sheetFormatPr defaultRowHeight="38"/>
  <cols>
    <col min="1" max="1" width="17" customWidth="1"/>
    <col min="2" max="2" width="26" customWidth="1"/>
    <col min="3" max="3" width="13" customWidth="1"/>
    <col min="4" max="4" width="12" customWidth="1"/>
    <col min="5" max="5" width="44" customWidth="1"/>
    <col min="6" max="6" width="24" customWidth="1"/>
  </cols>
  <sheetData>
    <row r="1" ht="34" customHeight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ht="38" customHeight="1">
      <c r="A2" s="7" t="s">
        <v>22</v>
      </c>
      <c r="B2" s="7" t="s">
        <v>23</v>
      </c>
      <c r="C2" s="15" t="s">
        <v>24</v>
      </c>
      <c r="D2" s="8" t="s">
        <v>25</v>
      </c>
      <c r="E2" s="7" t="s">
        <v>26</v>
      </c>
      <c r="F2" s="5"/>
    </row>
    <row r="3" ht="38" customHeight="1">
      <c r="A3" s="7" t="s">
        <v>22</v>
      </c>
      <c r="B3" s="7" t="s">
        <v>27</v>
      </c>
      <c r="C3" s="15" t="s">
        <v>24</v>
      </c>
      <c r="D3" s="16" t="s">
        <v>28</v>
      </c>
      <c r="E3" s="7" t="s">
        <v>26</v>
      </c>
      <c r="F3" s="5"/>
    </row>
    <row r="4" ht="38" customHeight="1">
      <c r="A4" s="7" t="s">
        <v>22</v>
      </c>
      <c r="B4" s="7" t="s">
        <v>29</v>
      </c>
      <c r="C4" s="15" t="s">
        <v>24</v>
      </c>
      <c r="D4" s="8" t="s">
        <v>25</v>
      </c>
      <c r="E4" s="7" t="s">
        <v>26</v>
      </c>
      <c r="F4" s="5"/>
    </row>
    <row r="5" ht="38" customHeight="1">
      <c r="A5" s="7" t="s">
        <v>22</v>
      </c>
      <c r="B5" s="7" t="s">
        <v>30</v>
      </c>
      <c r="C5" s="15" t="s">
        <v>24</v>
      </c>
      <c r="D5" s="8" t="s">
        <v>25</v>
      </c>
      <c r="E5" s="7" t="s">
        <v>26</v>
      </c>
      <c r="F5" s="5"/>
    </row>
    <row r="6" ht="38" customHeight="1">
      <c r="A6" s="7" t="s">
        <v>22</v>
      </c>
      <c r="B6" s="7" t="s">
        <v>31</v>
      </c>
      <c r="C6" s="15" t="s">
        <v>24</v>
      </c>
      <c r="D6" s="8" t="s">
        <v>25</v>
      </c>
      <c r="E6" s="7" t="s">
        <v>26</v>
      </c>
      <c r="F6" s="5"/>
    </row>
    <row r="7" ht="38" customHeight="1">
      <c r="A7" s="7" t="s">
        <v>22</v>
      </c>
      <c r="B7" s="7" t="s">
        <v>32</v>
      </c>
      <c r="C7" s="15" t="s">
        <v>24</v>
      </c>
      <c r="D7" s="16" t="s">
        <v>28</v>
      </c>
      <c r="E7" s="7" t="s">
        <v>26</v>
      </c>
      <c r="F7" s="5"/>
    </row>
    <row r="8" ht="38" customHeight="1">
      <c r="A8" s="7" t="s">
        <v>22</v>
      </c>
      <c r="B8" s="7" t="s">
        <v>33</v>
      </c>
      <c r="C8" s="15" t="s">
        <v>24</v>
      </c>
      <c r="D8" s="8" t="s">
        <v>25</v>
      </c>
      <c r="E8" s="7" t="s">
        <v>26</v>
      </c>
      <c r="F8" s="5"/>
    </row>
    <row r="9" ht="38" customHeight="1">
      <c r="A9" s="7" t="s">
        <v>22</v>
      </c>
      <c r="B9" s="7" t="s">
        <v>34</v>
      </c>
      <c r="C9" s="15" t="s">
        <v>24</v>
      </c>
      <c r="D9" s="8" t="s">
        <v>25</v>
      </c>
      <c r="E9" s="7" t="s">
        <v>26</v>
      </c>
      <c r="F9" s="5"/>
    </row>
    <row r="10" ht="38" customHeight="1">
      <c r="A10" s="7" t="s">
        <v>22</v>
      </c>
      <c r="B10" s="7" t="s">
        <v>35</v>
      </c>
      <c r="C10" s="15" t="s">
        <v>24</v>
      </c>
      <c r="D10" s="8" t="s">
        <v>25</v>
      </c>
      <c r="E10" s="7" t="s">
        <v>26</v>
      </c>
      <c r="F10" s="5"/>
    </row>
    <row r="11" ht="38" customHeight="1">
      <c r="A11" s="7" t="s">
        <v>22</v>
      </c>
      <c r="B11" s="7" t="s">
        <v>36</v>
      </c>
      <c r="C11" s="15" t="s">
        <v>24</v>
      </c>
      <c r="D11" s="8" t="s">
        <v>25</v>
      </c>
      <c r="E11" s="7" t="s">
        <v>26</v>
      </c>
      <c r="F11" s="5"/>
    </row>
    <row r="12" ht="38" customHeight="1">
      <c r="A12" s="7" t="s">
        <v>22</v>
      </c>
      <c r="B12" s="7" t="s">
        <v>37</v>
      </c>
      <c r="C12" s="15" t="s">
        <v>24</v>
      </c>
      <c r="D12" s="8" t="s">
        <v>25</v>
      </c>
      <c r="E12" s="7" t="s">
        <v>26</v>
      </c>
      <c r="F12" s="5"/>
    </row>
    <row r="13" ht="38" customHeight="1">
      <c r="A13" s="7" t="s">
        <v>22</v>
      </c>
      <c r="B13" s="7" t="s">
        <v>38</v>
      </c>
      <c r="C13" s="15" t="s">
        <v>24</v>
      </c>
      <c r="D13" s="16" t="s">
        <v>28</v>
      </c>
      <c r="E13" s="7" t="s">
        <v>26</v>
      </c>
      <c r="F13" s="5"/>
    </row>
    <row r="14" ht="38" customHeight="1">
      <c r="A14" s="7" t="s">
        <v>39</v>
      </c>
      <c r="B14" s="7" t="s">
        <v>40</v>
      </c>
      <c r="C14" s="15" t="s">
        <v>24</v>
      </c>
      <c r="D14" s="8" t="s">
        <v>25</v>
      </c>
      <c r="E14" s="7" t="s">
        <v>41</v>
      </c>
      <c r="F14" s="5"/>
    </row>
    <row r="15" ht="38" customHeight="1">
      <c r="A15" s="7" t="s">
        <v>39</v>
      </c>
      <c r="B15" s="7" t="s">
        <v>42</v>
      </c>
      <c r="C15" s="15" t="s">
        <v>24</v>
      </c>
      <c r="D15" s="8" t="s">
        <v>25</v>
      </c>
      <c r="E15" s="7" t="s">
        <v>41</v>
      </c>
      <c r="F15" s="5"/>
    </row>
    <row r="16" ht="38" customHeight="1">
      <c r="A16" s="7" t="s">
        <v>39</v>
      </c>
      <c r="B16" s="7" t="s">
        <v>43</v>
      </c>
      <c r="C16" s="15" t="s">
        <v>24</v>
      </c>
      <c r="D16" s="16" t="s">
        <v>28</v>
      </c>
      <c r="E16" s="7" t="s">
        <v>41</v>
      </c>
      <c r="F16" s="5"/>
    </row>
    <row r="17" ht="38" customHeight="1">
      <c r="A17" s="7" t="s">
        <v>39</v>
      </c>
      <c r="B17" s="7" t="s">
        <v>44</v>
      </c>
      <c r="C17" s="15" t="s">
        <v>24</v>
      </c>
      <c r="D17" s="16" t="s">
        <v>28</v>
      </c>
      <c r="E17" s="7" t="s">
        <v>41</v>
      </c>
      <c r="F17" s="5"/>
    </row>
    <row r="18" ht="38" customHeight="1">
      <c r="A18" s="7" t="s">
        <v>39</v>
      </c>
      <c r="B18" s="7" t="s">
        <v>45</v>
      </c>
      <c r="C18" s="15" t="s">
        <v>24</v>
      </c>
      <c r="D18" s="16" t="s">
        <v>28</v>
      </c>
      <c r="E18" s="7" t="s">
        <v>41</v>
      </c>
      <c r="F18" s="5"/>
    </row>
    <row r="19" ht="38" customHeight="1">
      <c r="A19" s="7" t="s">
        <v>39</v>
      </c>
      <c r="B19" s="7" t="s">
        <v>46</v>
      </c>
      <c r="C19" s="15" t="s">
        <v>24</v>
      </c>
      <c r="D19" s="16" t="s">
        <v>28</v>
      </c>
      <c r="E19" s="7" t="s">
        <v>41</v>
      </c>
      <c r="F19" s="5"/>
    </row>
    <row r="20" ht="38" customHeight="1">
      <c r="A20" s="7" t="s">
        <v>39</v>
      </c>
      <c r="B20" s="7" t="s">
        <v>47</v>
      </c>
      <c r="C20" s="15" t="s">
        <v>24</v>
      </c>
      <c r="D20" s="16" t="s">
        <v>28</v>
      </c>
      <c r="E20" s="7" t="s">
        <v>41</v>
      </c>
      <c r="F20" s="5"/>
    </row>
    <row r="21" ht="38" customHeight="1">
      <c r="A21" s="7" t="s">
        <v>39</v>
      </c>
      <c r="B21" s="7" t="s">
        <v>48</v>
      </c>
      <c r="C21" s="15" t="s">
        <v>24</v>
      </c>
      <c r="D21" s="16" t="s">
        <v>28</v>
      </c>
      <c r="E21" s="7" t="s">
        <v>41</v>
      </c>
      <c r="F21" s="5"/>
    </row>
    <row r="22" ht="38" customHeight="1">
      <c r="A22" s="7" t="s">
        <v>39</v>
      </c>
      <c r="B22" s="7" t="s">
        <v>49</v>
      </c>
      <c r="C22" s="15" t="s">
        <v>24</v>
      </c>
      <c r="D22" s="8" t="s">
        <v>25</v>
      </c>
      <c r="E22" s="7" t="s">
        <v>41</v>
      </c>
      <c r="F22" s="5"/>
    </row>
    <row r="23" ht="38" customHeight="1">
      <c r="A23" s="7" t="s">
        <v>39</v>
      </c>
      <c r="B23" s="7" t="s">
        <v>50</v>
      </c>
      <c r="C23" s="15" t="s">
        <v>24</v>
      </c>
      <c r="D23" s="8" t="s">
        <v>25</v>
      </c>
      <c r="E23" s="7" t="s">
        <v>41</v>
      </c>
      <c r="F23" s="5"/>
    </row>
    <row r="24" ht="38" customHeight="1">
      <c r="A24" s="7" t="s">
        <v>39</v>
      </c>
      <c r="B24" s="7" t="s">
        <v>51</v>
      </c>
      <c r="C24" s="15" t="s">
        <v>24</v>
      </c>
      <c r="D24" s="16" t="s">
        <v>28</v>
      </c>
      <c r="E24" s="7" t="s">
        <v>41</v>
      </c>
      <c r="F24" s="5"/>
    </row>
    <row r="25" ht="38" customHeight="1">
      <c r="A25" s="7" t="s">
        <v>39</v>
      </c>
      <c r="B25" s="7" t="s">
        <v>52</v>
      </c>
      <c r="C25" s="15" t="s">
        <v>24</v>
      </c>
      <c r="D25" s="8" t="s">
        <v>25</v>
      </c>
      <c r="E25" s="7" t="s">
        <v>41</v>
      </c>
      <c r="F25" s="5"/>
    </row>
    <row r="26" ht="38" customHeight="1">
      <c r="A26" s="7" t="s">
        <v>53</v>
      </c>
      <c r="B26" s="7" t="s">
        <v>54</v>
      </c>
      <c r="C26" s="15" t="s">
        <v>24</v>
      </c>
      <c r="D26" s="8" t="s">
        <v>25</v>
      </c>
      <c r="E26" s="7" t="s">
        <v>55</v>
      </c>
      <c r="F26" s="5"/>
    </row>
    <row r="27" ht="38" customHeight="1">
      <c r="A27" s="7" t="s">
        <v>53</v>
      </c>
      <c r="B27" s="7" t="s">
        <v>56</v>
      </c>
      <c r="C27" s="15" t="s">
        <v>24</v>
      </c>
      <c r="D27" s="8" t="s">
        <v>25</v>
      </c>
      <c r="E27" s="7" t="s">
        <v>55</v>
      </c>
      <c r="F27" s="5"/>
    </row>
    <row r="28" ht="38" customHeight="1">
      <c r="A28" s="7" t="s">
        <v>53</v>
      </c>
      <c r="B28" s="7" t="s">
        <v>57</v>
      </c>
      <c r="C28" s="15" t="s">
        <v>24</v>
      </c>
      <c r="D28" s="8" t="s">
        <v>25</v>
      </c>
      <c r="E28" s="7" t="s">
        <v>55</v>
      </c>
      <c r="F28" s="5"/>
    </row>
    <row r="29" ht="38" customHeight="1">
      <c r="A29" s="7" t="s">
        <v>53</v>
      </c>
      <c r="B29" s="7" t="s">
        <v>58</v>
      </c>
      <c r="C29" s="15" t="s">
        <v>24</v>
      </c>
      <c r="D29" s="8" t="s">
        <v>25</v>
      </c>
      <c r="E29" s="7" t="s">
        <v>55</v>
      </c>
      <c r="F29" s="5"/>
    </row>
    <row r="30" ht="38" customHeight="1">
      <c r="A30" s="7" t="s">
        <v>53</v>
      </c>
      <c r="B30" s="7" t="s">
        <v>59</v>
      </c>
      <c r="C30" s="15" t="s">
        <v>24</v>
      </c>
      <c r="D30" s="8" t="s">
        <v>25</v>
      </c>
      <c r="E30" s="7" t="s">
        <v>55</v>
      </c>
      <c r="F30" s="5"/>
    </row>
    <row r="31" ht="38" customHeight="1">
      <c r="A31" s="7" t="s">
        <v>53</v>
      </c>
      <c r="B31" s="7" t="s">
        <v>60</v>
      </c>
      <c r="C31" s="15" t="s">
        <v>24</v>
      </c>
      <c r="D31" s="8" t="s">
        <v>25</v>
      </c>
      <c r="E31" s="7" t="s">
        <v>55</v>
      </c>
      <c r="F31" s="5"/>
    </row>
    <row r="32" ht="38" customHeight="1">
      <c r="A32" s="7" t="s">
        <v>53</v>
      </c>
      <c r="B32" s="7" t="s">
        <v>61</v>
      </c>
      <c r="C32" s="15" t="s">
        <v>24</v>
      </c>
      <c r="D32" s="8" t="s">
        <v>25</v>
      </c>
      <c r="E32" s="7" t="s">
        <v>55</v>
      </c>
      <c r="F32" s="5"/>
    </row>
    <row r="33" ht="38" customHeight="1">
      <c r="A33" s="7" t="s">
        <v>53</v>
      </c>
      <c r="B33" s="7" t="s">
        <v>62</v>
      </c>
      <c r="C33" s="15" t="s">
        <v>24</v>
      </c>
      <c r="D33" s="8" t="s">
        <v>25</v>
      </c>
      <c r="E33" s="7" t="s">
        <v>55</v>
      </c>
      <c r="F33" s="5"/>
    </row>
    <row r="34" ht="38" customHeight="1">
      <c r="A34" s="7" t="s">
        <v>53</v>
      </c>
      <c r="B34" s="7" t="s">
        <v>63</v>
      </c>
      <c r="C34" s="15" t="s">
        <v>24</v>
      </c>
      <c r="D34" s="8" t="s">
        <v>25</v>
      </c>
      <c r="E34" s="7" t="s">
        <v>55</v>
      </c>
      <c r="F34" s="5"/>
    </row>
    <row r="35" ht="38" customHeight="1">
      <c r="A35" s="7" t="s">
        <v>53</v>
      </c>
      <c r="B35" s="7" t="s">
        <v>64</v>
      </c>
      <c r="C35" s="15" t="s">
        <v>24</v>
      </c>
      <c r="D35" s="16" t="s">
        <v>28</v>
      </c>
      <c r="E35" s="7" t="s">
        <v>55</v>
      </c>
      <c r="F35" s="5"/>
    </row>
    <row r="36" ht="38" customHeight="1">
      <c r="A36" s="7" t="s">
        <v>53</v>
      </c>
      <c r="B36" s="7" t="s">
        <v>65</v>
      </c>
      <c r="C36" s="15" t="s">
        <v>24</v>
      </c>
      <c r="D36" s="16" t="s">
        <v>28</v>
      </c>
      <c r="E36" s="7" t="s">
        <v>55</v>
      </c>
      <c r="F36" s="5"/>
    </row>
    <row r="37" ht="38" customHeight="1">
      <c r="A37" s="7" t="s">
        <v>66</v>
      </c>
      <c r="B37" s="7" t="s">
        <v>67</v>
      </c>
      <c r="C37" s="15" t="s">
        <v>24</v>
      </c>
      <c r="D37" s="8" t="s">
        <v>25</v>
      </c>
      <c r="E37" s="7" t="s">
        <v>68</v>
      </c>
      <c r="F37" s="5"/>
    </row>
    <row r="38" ht="38" customHeight="1">
      <c r="A38" s="7" t="s">
        <v>66</v>
      </c>
      <c r="B38" s="7" t="s">
        <v>69</v>
      </c>
      <c r="C38" s="15" t="s">
        <v>24</v>
      </c>
      <c r="D38" s="8" t="s">
        <v>25</v>
      </c>
      <c r="E38" s="7" t="s">
        <v>68</v>
      </c>
      <c r="F38" s="5"/>
    </row>
    <row r="39" ht="38" customHeight="1">
      <c r="A39" s="7" t="s">
        <v>66</v>
      </c>
      <c r="B39" s="7" t="s">
        <v>70</v>
      </c>
      <c r="C39" s="15" t="s">
        <v>24</v>
      </c>
      <c r="D39" s="8" t="s">
        <v>25</v>
      </c>
      <c r="E39" s="7" t="s">
        <v>68</v>
      </c>
      <c r="F39" s="5"/>
    </row>
    <row r="40" ht="38" customHeight="1">
      <c r="A40" s="7" t="s">
        <v>66</v>
      </c>
      <c r="B40" s="7" t="s">
        <v>71</v>
      </c>
      <c r="C40" s="15" t="s">
        <v>24</v>
      </c>
      <c r="D40" s="16" t="s">
        <v>28</v>
      </c>
      <c r="E40" s="7" t="s">
        <v>68</v>
      </c>
      <c r="F40" s="5"/>
    </row>
    <row r="41" ht="38" customHeight="1">
      <c r="A41" s="7" t="s">
        <v>66</v>
      </c>
      <c r="B41" s="7" t="s">
        <v>72</v>
      </c>
      <c r="C41" s="15" t="s">
        <v>24</v>
      </c>
      <c r="D41" s="16" t="s">
        <v>73</v>
      </c>
      <c r="E41" s="7" t="s">
        <v>68</v>
      </c>
      <c r="F41" s="5"/>
    </row>
    <row r="42" ht="38" customHeight="1">
      <c r="A42" s="7" t="s">
        <v>66</v>
      </c>
      <c r="B42" s="7" t="s">
        <v>74</v>
      </c>
      <c r="C42" s="15" t="s">
        <v>24</v>
      </c>
      <c r="D42" s="16" t="s">
        <v>28</v>
      </c>
      <c r="E42" s="7" t="s">
        <v>68</v>
      </c>
      <c r="F42" s="5"/>
    </row>
    <row r="43" ht="38" customHeight="1">
      <c r="A43" s="7" t="s">
        <v>66</v>
      </c>
      <c r="B43" s="7" t="s">
        <v>75</v>
      </c>
      <c r="C43" s="15" t="s">
        <v>24</v>
      </c>
      <c r="D43" s="16" t="s">
        <v>28</v>
      </c>
      <c r="E43" s="7" t="s">
        <v>68</v>
      </c>
      <c r="F43" s="5"/>
    </row>
    <row r="44" ht="38" customHeight="1">
      <c r="A44" s="7" t="s">
        <v>66</v>
      </c>
      <c r="B44" s="7" t="s">
        <v>76</v>
      </c>
      <c r="C44" s="15" t="s">
        <v>24</v>
      </c>
      <c r="D44" s="8" t="s">
        <v>25</v>
      </c>
      <c r="E44" s="7" t="s">
        <v>68</v>
      </c>
      <c r="F44" s="5"/>
    </row>
    <row r="45" ht="38" customHeight="1">
      <c r="A45" s="7" t="s">
        <v>66</v>
      </c>
      <c r="B45" s="7" t="s">
        <v>77</v>
      </c>
      <c r="C45" s="15" t="s">
        <v>24</v>
      </c>
      <c r="D45" s="16" t="s">
        <v>28</v>
      </c>
      <c r="E45" s="7" t="s">
        <v>68</v>
      </c>
      <c r="F45" s="5"/>
    </row>
    <row r="46" ht="38" customHeight="1">
      <c r="A46" s="7" t="s">
        <v>66</v>
      </c>
      <c r="B46" s="7" t="s">
        <v>78</v>
      </c>
      <c r="C46" s="15" t="s">
        <v>24</v>
      </c>
      <c r="D46" s="16" t="s">
        <v>28</v>
      </c>
      <c r="E46" s="7" t="s">
        <v>68</v>
      </c>
      <c r="F46" s="5"/>
    </row>
    <row r="47" ht="38" customHeight="1">
      <c r="A47" s="7" t="s">
        <v>66</v>
      </c>
      <c r="B47" s="7" t="s">
        <v>79</v>
      </c>
      <c r="C47" s="15" t="s">
        <v>24</v>
      </c>
      <c r="D47" s="16" t="s">
        <v>28</v>
      </c>
      <c r="E47" s="7" t="s">
        <v>68</v>
      </c>
      <c r="F47" s="5"/>
    </row>
    <row r="48" ht="38" customHeight="1">
      <c r="A48" s="7" t="s">
        <v>66</v>
      </c>
      <c r="B48" s="7" t="s">
        <v>80</v>
      </c>
      <c r="C48" s="15" t="s">
        <v>24</v>
      </c>
      <c r="D48" s="16" t="s">
        <v>73</v>
      </c>
      <c r="E48" s="7" t="s">
        <v>68</v>
      </c>
      <c r="F48" s="5"/>
    </row>
    <row r="49" ht="38" customHeight="1">
      <c r="A49" s="7" t="s">
        <v>66</v>
      </c>
      <c r="B49" s="7" t="s">
        <v>81</v>
      </c>
      <c r="C49" s="15" t="s">
        <v>24</v>
      </c>
      <c r="D49" s="8" t="s">
        <v>25</v>
      </c>
      <c r="E49" s="7" t="s">
        <v>68</v>
      </c>
      <c r="F49" s="5"/>
    </row>
    <row r="50" ht="38" customHeight="1">
      <c r="A50" s="7" t="s">
        <v>66</v>
      </c>
      <c r="B50" s="7" t="s">
        <v>82</v>
      </c>
      <c r="C50" s="15" t="s">
        <v>24</v>
      </c>
      <c r="D50" s="16" t="s">
        <v>73</v>
      </c>
      <c r="E50" s="7" t="s">
        <v>68</v>
      </c>
      <c r="F50" s="5"/>
    </row>
    <row r="51" ht="38" customHeight="1">
      <c r="A51" s="7" t="s">
        <v>66</v>
      </c>
      <c r="B51" s="7" t="s">
        <v>83</v>
      </c>
      <c r="C51" s="15" t="s">
        <v>24</v>
      </c>
      <c r="D51" s="16" t="s">
        <v>73</v>
      </c>
      <c r="E51" s="7" t="s">
        <v>68</v>
      </c>
      <c r="F51" s="5"/>
    </row>
    <row r="52" ht="38" customHeight="1">
      <c r="A52" s="7" t="s">
        <v>66</v>
      </c>
      <c r="B52" s="7" t="s">
        <v>84</v>
      </c>
      <c r="C52" s="15" t="s">
        <v>24</v>
      </c>
      <c r="D52" s="16" t="s">
        <v>73</v>
      </c>
      <c r="E52" s="7" t="s">
        <v>68</v>
      </c>
      <c r="F52" s="5"/>
    </row>
    <row r="53" ht="38" customHeight="1">
      <c r="A53" s="7" t="s">
        <v>66</v>
      </c>
      <c r="B53" s="7" t="s">
        <v>85</v>
      </c>
      <c r="C53" s="15" t="s">
        <v>24</v>
      </c>
      <c r="D53" s="16" t="s">
        <v>73</v>
      </c>
      <c r="E53" s="7" t="s">
        <v>68</v>
      </c>
      <c r="F53" s="5"/>
    </row>
    <row r="54" ht="38" customHeight="1">
      <c r="A54" s="7" t="s">
        <v>86</v>
      </c>
      <c r="B54" s="7" t="s">
        <v>87</v>
      </c>
      <c r="C54" s="15" t="s">
        <v>24</v>
      </c>
      <c r="D54" s="8" t="s">
        <v>25</v>
      </c>
      <c r="E54" s="7" t="s">
        <v>88</v>
      </c>
      <c r="F54" s="5"/>
    </row>
    <row r="55" ht="38" customHeight="1">
      <c r="A55" s="7" t="s">
        <v>86</v>
      </c>
      <c r="B55" s="7" t="s">
        <v>89</v>
      </c>
      <c r="C55" s="15" t="s">
        <v>24</v>
      </c>
      <c r="D55" s="8" t="s">
        <v>25</v>
      </c>
      <c r="E55" s="7" t="s">
        <v>88</v>
      </c>
      <c r="F55" s="5"/>
    </row>
    <row r="56" ht="38" customHeight="1">
      <c r="A56" s="7" t="s">
        <v>86</v>
      </c>
      <c r="B56" s="7" t="s">
        <v>90</v>
      </c>
      <c r="C56" s="15" t="s">
        <v>24</v>
      </c>
      <c r="D56" s="16" t="s">
        <v>28</v>
      </c>
      <c r="E56" s="7" t="s">
        <v>88</v>
      </c>
      <c r="F56" s="5"/>
    </row>
    <row r="57" ht="38" customHeight="1">
      <c r="A57" s="7" t="s">
        <v>86</v>
      </c>
      <c r="B57" s="7" t="s">
        <v>91</v>
      </c>
      <c r="C57" s="15" t="s">
        <v>24</v>
      </c>
      <c r="D57" s="16" t="s">
        <v>28</v>
      </c>
      <c r="E57" s="7" t="s">
        <v>88</v>
      </c>
      <c r="F57" s="5"/>
    </row>
    <row r="58" ht="38" customHeight="1">
      <c r="A58" s="7" t="s">
        <v>86</v>
      </c>
      <c r="B58" s="7" t="s">
        <v>92</v>
      </c>
      <c r="C58" s="15" t="s">
        <v>24</v>
      </c>
      <c r="D58" s="16" t="s">
        <v>28</v>
      </c>
      <c r="E58" s="7" t="s">
        <v>88</v>
      </c>
      <c r="F58" s="5"/>
    </row>
    <row r="59" ht="38" customHeight="1">
      <c r="A59" s="7" t="s">
        <v>86</v>
      </c>
      <c r="B59" s="7" t="s">
        <v>93</v>
      </c>
      <c r="C59" s="15" t="s">
        <v>24</v>
      </c>
      <c r="D59" s="16" t="s">
        <v>28</v>
      </c>
      <c r="E59" s="7" t="s">
        <v>88</v>
      </c>
      <c r="F59" s="5"/>
    </row>
    <row r="60" ht="38" customHeight="1">
      <c r="A60" s="7" t="s">
        <v>86</v>
      </c>
      <c r="B60" s="7" t="s">
        <v>94</v>
      </c>
      <c r="C60" s="15" t="s">
        <v>24</v>
      </c>
      <c r="D60" s="16" t="s">
        <v>28</v>
      </c>
      <c r="E60" s="7" t="s">
        <v>88</v>
      </c>
      <c r="F60" s="5"/>
    </row>
    <row r="61" ht="38" customHeight="1">
      <c r="A61" s="7" t="s">
        <v>86</v>
      </c>
      <c r="B61" s="7" t="s">
        <v>95</v>
      </c>
      <c r="C61" s="15" t="s">
        <v>24</v>
      </c>
      <c r="D61" s="16" t="s">
        <v>28</v>
      </c>
      <c r="E61" s="7" t="s">
        <v>88</v>
      </c>
      <c r="F61" s="5"/>
    </row>
    <row r="62" ht="38" customHeight="1">
      <c r="A62" s="7" t="s">
        <v>86</v>
      </c>
      <c r="B62" s="7" t="s">
        <v>96</v>
      </c>
      <c r="C62" s="15" t="s">
        <v>24</v>
      </c>
      <c r="D62" s="16" t="s">
        <v>73</v>
      </c>
      <c r="E62" s="7" t="s">
        <v>88</v>
      </c>
      <c r="F62" s="5"/>
    </row>
    <row r="63" ht="38" customHeight="1">
      <c r="A63" s="7" t="s">
        <v>86</v>
      </c>
      <c r="B63" s="7" t="s">
        <v>97</v>
      </c>
      <c r="C63" s="15" t="s">
        <v>24</v>
      </c>
      <c r="D63" s="16" t="s">
        <v>73</v>
      </c>
      <c r="E63" s="7" t="s">
        <v>88</v>
      </c>
      <c r="F63" s="5"/>
    </row>
    <row r="64" ht="38" customHeight="1">
      <c r="A64" s="7" t="s">
        <v>98</v>
      </c>
      <c r="B64" s="7" t="s">
        <v>99</v>
      </c>
      <c r="C64" s="15" t="s">
        <v>24</v>
      </c>
      <c r="D64" s="8" t="s">
        <v>25</v>
      </c>
      <c r="E64" s="7" t="s">
        <v>100</v>
      </c>
      <c r="F64" s="5"/>
    </row>
    <row r="65" ht="38" customHeight="1">
      <c r="A65" s="7" t="s">
        <v>98</v>
      </c>
      <c r="B65" s="7" t="s">
        <v>101</v>
      </c>
      <c r="C65" s="15" t="s">
        <v>24</v>
      </c>
      <c r="D65" s="16" t="s">
        <v>28</v>
      </c>
      <c r="E65" s="7" t="s">
        <v>100</v>
      </c>
      <c r="F65" s="5"/>
    </row>
    <row r="66" ht="38" customHeight="1">
      <c r="A66" s="7" t="s">
        <v>98</v>
      </c>
      <c r="B66" s="7" t="s">
        <v>102</v>
      </c>
      <c r="C66" s="15" t="s">
        <v>24</v>
      </c>
      <c r="D66" s="8" t="s">
        <v>25</v>
      </c>
      <c r="E66" s="7" t="s">
        <v>100</v>
      </c>
      <c r="F66" s="5"/>
    </row>
    <row r="67" ht="38" customHeight="1">
      <c r="A67" s="7" t="s">
        <v>98</v>
      </c>
      <c r="B67" s="7" t="s">
        <v>103</v>
      </c>
      <c r="C67" s="15" t="s">
        <v>24</v>
      </c>
      <c r="D67" s="8" t="s">
        <v>25</v>
      </c>
      <c r="E67" s="7" t="s">
        <v>100</v>
      </c>
      <c r="F67" s="5"/>
    </row>
    <row r="68" ht="38" customHeight="1">
      <c r="A68" s="7" t="s">
        <v>98</v>
      </c>
      <c r="B68" s="7" t="s">
        <v>104</v>
      </c>
      <c r="C68" s="15" t="s">
        <v>24</v>
      </c>
      <c r="D68" s="8" t="s">
        <v>25</v>
      </c>
      <c r="E68" s="7" t="s">
        <v>100</v>
      </c>
      <c r="F68" s="5"/>
    </row>
    <row r="69" ht="38" customHeight="1">
      <c r="A69" s="7" t="s">
        <v>98</v>
      </c>
      <c r="B69" s="7" t="s">
        <v>105</v>
      </c>
      <c r="C69" s="15" t="s">
        <v>24</v>
      </c>
      <c r="D69" s="8" t="s">
        <v>25</v>
      </c>
      <c r="E69" s="7" t="s">
        <v>100</v>
      </c>
      <c r="F69" s="5"/>
    </row>
    <row r="70" ht="38" customHeight="1">
      <c r="A70" s="7" t="s">
        <v>98</v>
      </c>
      <c r="B70" s="7" t="s">
        <v>106</v>
      </c>
      <c r="C70" s="15" t="s">
        <v>24</v>
      </c>
      <c r="D70" s="8" t="s">
        <v>25</v>
      </c>
      <c r="E70" s="7" t="s">
        <v>100</v>
      </c>
      <c r="F70" s="5"/>
    </row>
    <row r="71" ht="38" customHeight="1">
      <c r="A71" s="7" t="s">
        <v>98</v>
      </c>
      <c r="B71" s="7" t="s">
        <v>107</v>
      </c>
      <c r="C71" s="15" t="s">
        <v>24</v>
      </c>
      <c r="D71" s="8" t="s">
        <v>25</v>
      </c>
      <c r="E71" s="7" t="s">
        <v>100</v>
      </c>
      <c r="F71" s="5"/>
    </row>
    <row r="72" ht="38" customHeight="1">
      <c r="A72" s="7" t="s">
        <v>98</v>
      </c>
      <c r="B72" s="7" t="s">
        <v>108</v>
      </c>
      <c r="C72" s="15" t="s">
        <v>24</v>
      </c>
      <c r="D72" s="16" t="s">
        <v>28</v>
      </c>
      <c r="E72" s="7" t="s">
        <v>100</v>
      </c>
      <c r="F72" s="5"/>
    </row>
    <row r="73" ht="38" customHeight="1">
      <c r="A73" s="7" t="s">
        <v>98</v>
      </c>
      <c r="B73" s="7" t="s">
        <v>109</v>
      </c>
      <c r="C73" s="15" t="s">
        <v>24</v>
      </c>
      <c r="D73" s="8" t="s">
        <v>25</v>
      </c>
      <c r="E73" s="7" t="s">
        <v>100</v>
      </c>
      <c r="F73" s="5"/>
    </row>
    <row r="74" ht="38" customHeight="1">
      <c r="A74" s="7" t="s">
        <v>98</v>
      </c>
      <c r="B74" s="7" t="s">
        <v>110</v>
      </c>
      <c r="C74" s="15" t="s">
        <v>24</v>
      </c>
      <c r="D74" s="8" t="s">
        <v>25</v>
      </c>
      <c r="E74" s="7" t="s">
        <v>100</v>
      </c>
      <c r="F74" s="5"/>
    </row>
    <row r="75" ht="38" customHeight="1">
      <c r="A75" s="7" t="s">
        <v>98</v>
      </c>
      <c r="B75" s="7" t="s">
        <v>111</v>
      </c>
      <c r="C75" s="15" t="s">
        <v>24</v>
      </c>
      <c r="D75" s="16" t="s">
        <v>28</v>
      </c>
      <c r="E75" s="7" t="s">
        <v>100</v>
      </c>
      <c r="F75" s="5"/>
    </row>
    <row r="76" ht="38" customHeight="1">
      <c r="A76" s="7" t="s">
        <v>98</v>
      </c>
      <c r="B76" s="7" t="s">
        <v>112</v>
      </c>
      <c r="C76" s="15" t="s">
        <v>24</v>
      </c>
      <c r="D76" s="16" t="s">
        <v>28</v>
      </c>
      <c r="E76" s="7" t="s">
        <v>100</v>
      </c>
      <c r="F76" s="5"/>
    </row>
    <row r="77" ht="38" customHeight="1">
      <c r="A77" s="7" t="s">
        <v>113</v>
      </c>
      <c r="B77" s="7" t="s">
        <v>114</v>
      </c>
      <c r="C77" s="15" t="s">
        <v>24</v>
      </c>
      <c r="D77" s="8" t="s">
        <v>25</v>
      </c>
      <c r="E77" s="7" t="s">
        <v>115</v>
      </c>
      <c r="F77" s="5"/>
    </row>
    <row r="78" ht="38" customHeight="1">
      <c r="A78" s="7" t="s">
        <v>113</v>
      </c>
      <c r="B78" s="7" t="s">
        <v>116</v>
      </c>
      <c r="C78" s="15" t="s">
        <v>24</v>
      </c>
      <c r="D78" s="16" t="s">
        <v>28</v>
      </c>
      <c r="E78" s="7" t="s">
        <v>115</v>
      </c>
      <c r="F78" s="5"/>
    </row>
    <row r="79" ht="38" customHeight="1">
      <c r="A79" s="7" t="s">
        <v>113</v>
      </c>
      <c r="B79" s="7" t="s">
        <v>117</v>
      </c>
      <c r="C79" s="15" t="s">
        <v>24</v>
      </c>
      <c r="D79" s="16" t="s">
        <v>73</v>
      </c>
      <c r="E79" s="7" t="s">
        <v>115</v>
      </c>
      <c r="F79" s="5"/>
    </row>
    <row r="80" ht="38" customHeight="1">
      <c r="A80" s="7" t="s">
        <v>113</v>
      </c>
      <c r="B80" s="7" t="s">
        <v>118</v>
      </c>
      <c r="C80" s="15" t="s">
        <v>24</v>
      </c>
      <c r="D80" s="8" t="s">
        <v>25</v>
      </c>
      <c r="E80" s="7" t="s">
        <v>115</v>
      </c>
      <c r="F80" s="5"/>
    </row>
    <row r="81" ht="38" customHeight="1">
      <c r="A81" s="7" t="s">
        <v>113</v>
      </c>
      <c r="B81" s="7" t="s">
        <v>119</v>
      </c>
      <c r="C81" s="15" t="s">
        <v>24</v>
      </c>
      <c r="D81" s="8" t="s">
        <v>25</v>
      </c>
      <c r="E81" s="7" t="s">
        <v>115</v>
      </c>
      <c r="F81" s="5"/>
    </row>
    <row r="82" ht="38" customHeight="1">
      <c r="A82" s="7" t="s">
        <v>113</v>
      </c>
      <c r="B82" s="7" t="s">
        <v>120</v>
      </c>
      <c r="C82" s="15" t="s">
        <v>24</v>
      </c>
      <c r="D82" s="8" t="s">
        <v>25</v>
      </c>
      <c r="E82" s="7" t="s">
        <v>115</v>
      </c>
      <c r="F82" s="5"/>
    </row>
    <row r="83" ht="38" customHeight="1">
      <c r="A83" s="7" t="s">
        <v>113</v>
      </c>
      <c r="B83" s="7" t="s">
        <v>121</v>
      </c>
      <c r="C83" s="15" t="s">
        <v>24</v>
      </c>
      <c r="D83" s="8" t="s">
        <v>25</v>
      </c>
      <c r="E83" s="7" t="s">
        <v>115</v>
      </c>
      <c r="F83" s="5"/>
    </row>
    <row r="84" ht="38" customHeight="1">
      <c r="A84" s="7" t="s">
        <v>113</v>
      </c>
      <c r="B84" s="7" t="s">
        <v>122</v>
      </c>
      <c r="C84" s="15" t="s">
        <v>24</v>
      </c>
      <c r="D84" s="8" t="s">
        <v>25</v>
      </c>
      <c r="E84" s="7" t="s">
        <v>115</v>
      </c>
      <c r="F84" s="5"/>
    </row>
    <row r="85" ht="38" customHeight="1">
      <c r="A85" s="7" t="s">
        <v>113</v>
      </c>
      <c r="B85" s="7" t="s">
        <v>123</v>
      </c>
      <c r="C85" s="15" t="s">
        <v>24</v>
      </c>
      <c r="D85" s="8" t="s">
        <v>25</v>
      </c>
      <c r="E85" s="7" t="s">
        <v>115</v>
      </c>
      <c r="F85" s="5"/>
    </row>
    <row r="86" ht="38" customHeight="1">
      <c r="A86" s="9" t="s">
        <v>15</v>
      </c>
      <c r="B86" s="9"/>
      <c r="C86" s="9"/>
      <c r="D86" s="9"/>
      <c r="E86" s="9"/>
      <c r="F86" s="9"/>
    </row>
  </sheetData>
  <autoFilter ref="A1:F85"/>
  <conditionalFormatting sqref="A2:F85">
    <cfRule type="expression" dxfId="0" priority="1">
      <formula>$D2="高"</formula>
    </cfRule>
  </conditionalFormatting>
  <dataValidations count="2">
    <dataValidation type="list" allowBlank="1" showErrorMessage="1" errorTitle="请从下拉选项中选择" error="该单元格仅支持预设选项。" sqref="C2:C85">
      <formula1>"未检查,已完成,不适用"</formula1>
    </dataValidation>
    <dataValidation type="list" allowBlank="1" showErrorMessage="1" errorTitle="请从下拉选项中选择" error="该单元格仅支持预设选项。" sqref="D2:D85">
      <formula1>"高,中,低"</formula1>
    </dataValidation>
  </dataValidations>
  <printOptions horizontalCentered="1"/>
  <pageMargins left="0.35" right="0.35" top="0.55" bottom="0.55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34"/>
  <cols>
    <col min="1" max="1" width="22" customWidth="1"/>
    <col min="2" max="2" width="24" customWidth="1"/>
    <col min="3" max="3" width="38" customWidth="1"/>
    <col min="4" max="4" width="38" customWidth="1"/>
  </cols>
  <sheetData>
    <row r="1" ht="34" customHeight="1">
      <c r="A1" s="1" t="s">
        <v>124</v>
      </c>
      <c r="B1" s="1"/>
      <c r="C1" s="1"/>
      <c r="D1" s="1"/>
    </row>
    <row r="2" ht="34" customHeight="1">
      <c r="A2" s="4" t="s">
        <v>125</v>
      </c>
      <c r="B2" s="4" t="s">
        <v>126</v>
      </c>
      <c r="C2" s="4" t="s">
        <v>127</v>
      </c>
      <c r="D2" s="4" t="s">
        <v>128</v>
      </c>
    </row>
    <row r="3" ht="34" customHeight="1">
      <c r="A3" s="7" t="s">
        <v>129</v>
      </c>
      <c r="B3" s="6">
        <f>COUNTA('取车验车清单'!B2:B85)</f>
      </c>
      <c r="C3" s="18" t="s">
        <v>130</v>
      </c>
      <c r="D3" s="18" t="s">
        <v>131</v>
      </c>
    </row>
    <row r="4" ht="34" customHeight="1">
      <c r="A4" s="7" t="s">
        <v>132</v>
      </c>
      <c r="B4" s="6">
        <f>COUNTIF('取车验车清单'!C2:C85,"已完成")</f>
      </c>
      <c r="C4" s="18" t="s">
        <v>133</v>
      </c>
      <c r="D4" s="18" t="s">
        <v>134</v>
      </c>
    </row>
    <row r="5" ht="34" customHeight="1">
      <c r="A5" s="7" t="s">
        <v>135</v>
      </c>
      <c r="B5" s="6">
        <f>COUNTIF('取车验车清单'!C2:C85,"未检查")</f>
      </c>
      <c r="C5" s="18" t="s">
        <v>136</v>
      </c>
      <c r="D5" s="18" t="s">
        <v>137</v>
      </c>
    </row>
    <row r="6" ht="34" customHeight="1">
      <c r="A6" s="7" t="s">
        <v>138</v>
      </c>
      <c r="B6" s="6">
        <f>COUNTIF('取车验车清单'!C2:C85,"不适用")</f>
      </c>
      <c r="C6" s="18" t="s">
        <v>139</v>
      </c>
      <c r="D6" s="18" t="s">
        <v>140</v>
      </c>
    </row>
    <row r="7" ht="34" customHeight="1">
      <c r="A7" s="7" t="s">
        <v>141</v>
      </c>
      <c r="B7" s="17">
        <f>COUNTIFS('取车验车清单'!D2:D85,"高",'取车验车清单'!C2:C85,"未检查")</f>
      </c>
      <c r="C7" s="18" t="s">
        <v>142</v>
      </c>
      <c r="D7" s="18" t="s">
        <v>143</v>
      </c>
    </row>
    <row r="8" ht="34" customHeight="1">
      <c r="A8" s="7" t="s">
        <v>144</v>
      </c>
      <c r="B8" s="11">
        <f>IFERROR(B4/(B3-B6),0)</f>
      </c>
      <c r="C8" s="18" t="s">
        <v>145</v>
      </c>
      <c r="D8" s="18" t="s">
        <v>146</v>
      </c>
    </row>
    <row r="9" ht="34" customHeight="1">
      <c r="A9" s="7" t="s">
        <v>147</v>
      </c>
      <c r="B9" s="17">
        <f>IF(OR(B8&lt;70%,B7&gt;0),"高风险，请先补充关键检查项",IF(B8&gt;=90%,"低风险，可以取车/还车","中风险，建议补充检查"))</f>
      </c>
      <c r="C9" s="18" t="s">
        <v>148</v>
      </c>
      <c r="D9" s="18" t="s">
        <v>149</v>
      </c>
    </row>
    <row r="10" ht="34" customHeight="1">
      <c r="A10" s="9" t="s">
        <v>15</v>
      </c>
      <c r="B10" s="9"/>
      <c r="C10" s="9"/>
      <c r="D10" s="9"/>
    </row>
  </sheetData>
  <mergeCells count="2">
    <mergeCell ref="A1:D1"/>
    <mergeCell ref="A10:D10"/>
  </mergeCells>
  <conditionalFormatting sqref="B9:B9">
    <cfRule type="expression" dxfId="1" priority="1">
      <formula>LEFT(B9,3)="高风险"</formula>
    </cfRule>
  </conditionalFormatting>
  <printOptions horizontalCentered="1"/>
  <pageMargins left="0.35" right="0.35" top="0.55" bottom="0.55" header="0.2" footer="0.2"/>
  <pageSetup paperSize="9" orientation="portrait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pane ySplit="1" topLeftCell="A2" activePane="bottomLeft" state="frozen"/>
      <selection pane="bottomLeft" activeCell="A2" sqref="A2"/>
    </sheetView>
  </sheetViews>
  <sheetFormatPr defaultRowHeight="38"/>
  <cols>
    <col min="1" max="1" width="24" customWidth="1"/>
    <col min="2" max="2" width="46" customWidth="1"/>
    <col min="3" max="3" width="14" customWidth="1"/>
    <col min="4" max="4" width="13" customWidth="1"/>
    <col min="5" max="5" width="24" customWidth="1"/>
  </cols>
  <sheetData>
    <row r="1" ht="34" customHeight="1">
      <c r="A1" s="4" t="s">
        <v>150</v>
      </c>
      <c r="B1" s="4" t="s">
        <v>151</v>
      </c>
      <c r="C1" s="4" t="s">
        <v>152</v>
      </c>
      <c r="D1" s="4" t="s">
        <v>18</v>
      </c>
      <c r="E1" s="4" t="s">
        <v>21</v>
      </c>
    </row>
    <row r="2" ht="38" customHeight="1">
      <c r="A2" s="7" t="s">
        <v>153</v>
      </c>
      <c r="B2" s="7" t="s">
        <v>154</v>
      </c>
      <c r="C2" s="16" t="s">
        <v>155</v>
      </c>
      <c r="D2" s="15" t="s">
        <v>24</v>
      </c>
      <c r="E2" s="5"/>
    </row>
    <row r="3" ht="38" customHeight="1">
      <c r="A3" s="7" t="s">
        <v>40</v>
      </c>
      <c r="B3" s="7" t="s">
        <v>156</v>
      </c>
      <c r="C3" s="16" t="s">
        <v>157</v>
      </c>
      <c r="D3" s="15" t="s">
        <v>24</v>
      </c>
      <c r="E3" s="5"/>
    </row>
    <row r="4" ht="38" customHeight="1">
      <c r="A4" s="7" t="s">
        <v>42</v>
      </c>
      <c r="B4" s="7" t="s">
        <v>158</v>
      </c>
      <c r="C4" s="16" t="s">
        <v>157</v>
      </c>
      <c r="D4" s="15" t="s">
        <v>24</v>
      </c>
      <c r="E4" s="5"/>
    </row>
    <row r="5" ht="38" customHeight="1">
      <c r="A5" s="7" t="s">
        <v>159</v>
      </c>
      <c r="B5" s="7" t="s">
        <v>160</v>
      </c>
      <c r="C5" s="16" t="s">
        <v>157</v>
      </c>
      <c r="D5" s="15" t="s">
        <v>24</v>
      </c>
      <c r="E5" s="5"/>
    </row>
    <row r="6" ht="38" customHeight="1">
      <c r="A6" s="7" t="s">
        <v>161</v>
      </c>
      <c r="B6" s="7" t="s">
        <v>160</v>
      </c>
      <c r="C6" s="16" t="s">
        <v>157</v>
      </c>
      <c r="D6" s="15" t="s">
        <v>24</v>
      </c>
      <c r="E6" s="5"/>
    </row>
    <row r="7" ht="38" customHeight="1">
      <c r="A7" s="7" t="s">
        <v>162</v>
      </c>
      <c r="B7" s="7" t="s">
        <v>163</v>
      </c>
      <c r="C7" s="16" t="s">
        <v>157</v>
      </c>
      <c r="D7" s="15" t="s">
        <v>24</v>
      </c>
      <c r="E7" s="5"/>
    </row>
    <row r="8" ht="38" customHeight="1">
      <c r="A8" s="7" t="s">
        <v>164</v>
      </c>
      <c r="B8" s="7" t="s">
        <v>165</v>
      </c>
      <c r="C8" s="16" t="s">
        <v>157</v>
      </c>
      <c r="D8" s="15" t="s">
        <v>24</v>
      </c>
      <c r="E8" s="5"/>
    </row>
    <row r="9" ht="38" customHeight="1">
      <c r="A9" s="7" t="s">
        <v>49</v>
      </c>
      <c r="B9" s="7" t="s">
        <v>166</v>
      </c>
      <c r="C9" s="16" t="s">
        <v>157</v>
      </c>
      <c r="D9" s="15" t="s">
        <v>24</v>
      </c>
      <c r="E9" s="5"/>
    </row>
    <row r="10" ht="38" customHeight="1">
      <c r="A10" s="7" t="s">
        <v>167</v>
      </c>
      <c r="B10" s="7" t="s">
        <v>168</v>
      </c>
      <c r="C10" s="16" t="s">
        <v>157</v>
      </c>
      <c r="D10" s="15" t="s">
        <v>24</v>
      </c>
      <c r="E10" s="5"/>
    </row>
    <row r="11" ht="38" customHeight="1">
      <c r="A11" s="7" t="s">
        <v>48</v>
      </c>
      <c r="B11" s="7" t="s">
        <v>169</v>
      </c>
      <c r="C11" s="16" t="s">
        <v>157</v>
      </c>
      <c r="D11" s="15" t="s">
        <v>24</v>
      </c>
      <c r="E11" s="5"/>
    </row>
    <row r="12" ht="38" customHeight="1">
      <c r="A12" s="7" t="s">
        <v>52</v>
      </c>
      <c r="B12" s="7" t="s">
        <v>170</v>
      </c>
      <c r="C12" s="16" t="s">
        <v>157</v>
      </c>
      <c r="D12" s="15" t="s">
        <v>24</v>
      </c>
      <c r="E12" s="5"/>
    </row>
    <row r="13" ht="38" customHeight="1">
      <c r="A13" s="7" t="s">
        <v>171</v>
      </c>
      <c r="B13" s="7" t="s">
        <v>172</v>
      </c>
      <c r="C13" s="16" t="s">
        <v>155</v>
      </c>
      <c r="D13" s="15" t="s">
        <v>24</v>
      </c>
      <c r="E13" s="5"/>
    </row>
    <row r="14" ht="38" customHeight="1">
      <c r="A14" s="7" t="s">
        <v>69</v>
      </c>
      <c r="B14" s="7" t="s">
        <v>173</v>
      </c>
      <c r="C14" s="16" t="s">
        <v>155</v>
      </c>
      <c r="D14" s="15" t="s">
        <v>24</v>
      </c>
      <c r="E14" s="5"/>
    </row>
    <row r="15" ht="38" customHeight="1">
      <c r="A15" s="7" t="s">
        <v>174</v>
      </c>
      <c r="B15" s="7" t="s">
        <v>175</v>
      </c>
      <c r="C15" s="16" t="s">
        <v>157</v>
      </c>
      <c r="D15" s="15" t="s">
        <v>24</v>
      </c>
      <c r="E15" s="5"/>
    </row>
    <row r="16" ht="38" customHeight="1">
      <c r="A16" s="7" t="s">
        <v>176</v>
      </c>
      <c r="B16" s="7" t="s">
        <v>177</v>
      </c>
      <c r="C16" s="16" t="s">
        <v>178</v>
      </c>
      <c r="D16" s="15" t="s">
        <v>24</v>
      </c>
      <c r="E16" s="5"/>
    </row>
    <row r="17" ht="38" customHeight="1">
      <c r="A17" s="7" t="s">
        <v>179</v>
      </c>
      <c r="B17" s="7" t="s">
        <v>180</v>
      </c>
      <c r="C17" s="16" t="s">
        <v>178</v>
      </c>
      <c r="D17" s="15" t="s">
        <v>24</v>
      </c>
      <c r="E17" s="5"/>
    </row>
    <row r="18" ht="38" customHeight="1">
      <c r="A18" s="9" t="s">
        <v>15</v>
      </c>
      <c r="B18" s="9"/>
      <c r="C18" s="9"/>
      <c r="D18" s="9"/>
      <c r="E18" s="9"/>
    </row>
  </sheetData>
  <autoFilter ref="A1:E17"/>
  <dataValidations count="1">
    <dataValidation type="list" allowBlank="1" showErrorMessage="1" errorTitle="请从下拉选项中选择" error="该单元格仅支持预设选项。" sqref="D2:D17">
      <formula1>"未检查,已完成,不适用"</formula1>
    </dataValidation>
  </dataValidations>
  <printOptions horizontalCentered="1"/>
  <pageMargins left="0.35" right="0.35" top="0.55" bottom="0.55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28"/>
  <cols>
    <col min="1" max="1" width="20" customWidth="1"/>
    <col min="2" max="2" width="68" customWidth="1"/>
    <col min="3" max="3" width="12" customWidth="1"/>
    <col min="4" max="4" width="12" customWidth="1"/>
  </cols>
  <sheetData>
    <row r="1" ht="34" customHeight="1">
      <c r="A1" s="1" t="s">
        <v>181</v>
      </c>
      <c r="B1" s="1"/>
      <c r="C1" s="1"/>
      <c r="D1" s="1"/>
    </row>
    <row r="2" ht="28" customHeight="1">
      <c r="A2" s="3" t="s">
        <v>182</v>
      </c>
      <c r="B2" s="7" t="s">
        <v>183</v>
      </c>
      <c r="C2" s="7"/>
      <c r="D2" s="7"/>
    </row>
    <row r="3" ht="28" customHeight="1">
      <c r="A3" s="3" t="s">
        <v>184</v>
      </c>
      <c r="B3" s="7" t="s">
        <v>185</v>
      </c>
      <c r="C3" s="7"/>
      <c r="D3" s="7"/>
    </row>
    <row r="4" ht="28" customHeight="1">
      <c r="A4" s="3" t="s">
        <v>186</v>
      </c>
      <c r="B4" s="7" t="s">
        <v>187</v>
      </c>
      <c r="C4" s="7"/>
      <c r="D4" s="7"/>
    </row>
    <row r="5" ht="28" customHeight="1">
      <c r="A5" s="3" t="s">
        <v>188</v>
      </c>
      <c r="B5" s="7" t="s">
        <v>189</v>
      </c>
      <c r="C5" s="7"/>
      <c r="D5" s="7"/>
    </row>
    <row r="6" ht="28" customHeight="1">
      <c r="A6" s="3" t="s">
        <v>190</v>
      </c>
      <c r="B6" s="8" t="s">
        <v>191</v>
      </c>
      <c r="C6" s="7"/>
      <c r="D6" s="7"/>
    </row>
    <row r="7" ht="28" customHeight="1">
      <c r="A7" s="9" t="s">
        <v>15</v>
      </c>
      <c r="B7" s="9"/>
      <c r="C7" s="9"/>
      <c r="D7" s="9"/>
    </row>
  </sheetData>
  <mergeCells count="7">
    <mergeCell ref="A1:D1"/>
    <mergeCell ref="B2:D2"/>
    <mergeCell ref="B3:D3"/>
    <mergeCell ref="B4:D4"/>
    <mergeCell ref="B5:D5"/>
    <mergeCell ref="B6:D6"/>
    <mergeCell ref="A7:D7"/>
  </mergeCells>
  <printOptions horizontalCentered="1"/>
  <pageMargins left="0.35" right="0.35" top="0.55" bottom="0.55" header="0.2" footer="0.2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使用说明</vt:lpstr>
      <vt:lpstr>取车验车清单</vt:lpstr>
      <vt:lpstr>验车完成度</vt:lpstr>
      <vt:lpstr>拍照模板</vt:lpstr>
      <vt:lpstr>PDF导出建议版式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第一次租车自驾取车验车清单</dc:title>
  <dc:creator>Codex</dc:creator>
  <cp:lastModifiedBy>Codex</cp:lastModifiedBy>
  <dcterms:created xsi:type="dcterms:W3CDTF">2026-05-13T09:03:04Z</dcterms:created>
  <dcterms:modified xsi:type="dcterms:W3CDTF">2026-05-13T09:03:04Z</dcterms:modified>
</cp:coreProperties>
</file>